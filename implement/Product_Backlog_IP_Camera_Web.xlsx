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ướng dẫn" sheetId="1" state="visible" r:id="rId1"/>
    <sheet xmlns:r="http://schemas.openxmlformats.org/officeDocument/2006/relationships" name="Kế hoạch sprint" sheetId="2" state="visible" r:id="rId2"/>
    <sheet xmlns:r="http://schemas.openxmlformats.org/officeDocument/2006/relationships" name="Backlog" sheetId="3" state="visible" r:id="rId3"/>
    <sheet xmlns:r="http://schemas.openxmlformats.org/officeDocument/2006/relationships" name="Epic" sheetId="4" state="visible" r:id="rId4"/>
    <sheet xmlns:r="http://schemas.openxmlformats.org/officeDocument/2006/relationships" name="Mốc" sheetId="5" state="visible" r:id="rId5"/>
  </sheets>
  <definedNames>
    <definedName name="_xlnm._FilterDatabase" localSheetId="2" hidden="1">'Backlog'!$A$1:$R$53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sz val="10"/>
    </font>
    <font>
      <name val="Arial"/>
      <b val="1"/>
      <color rgb="001F3864"/>
      <sz val="14"/>
    </font>
    <font>
      <name val="Arial"/>
      <b val="1"/>
      <color rgb="001F3864"/>
      <sz val="11"/>
    </font>
    <font>
      <name val="Arial"/>
      <b val="1"/>
      <color rgb="00FFFFFF"/>
      <sz val="10"/>
    </font>
    <font>
      <name val="Arial"/>
      <b val="1"/>
      <sz val="10"/>
    </font>
    <font>
      <name val="Arial"/>
      <color rgb="000000FF"/>
      <sz val="10"/>
    </font>
    <font>
      <name val="Arial"/>
      <i val="1"/>
      <color rgb="00595959"/>
      <sz val="9"/>
    </font>
  </fonts>
  <fills count="5">
    <fill>
      <patternFill/>
    </fill>
    <fill>
      <patternFill patternType="gray125"/>
    </fill>
    <fill>
      <patternFill patternType="solid">
        <fgColor rgb="001F3864"/>
      </patternFill>
    </fill>
    <fill>
      <patternFill patternType="solid">
        <fgColor rgb="00FFF2CC"/>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5" fillId="0" borderId="0" pivotButton="0" quotePrefix="0" xfId="0"/>
    <xf numFmtId="0" fontId="6" fillId="3" borderId="0" pivotButton="0" quotePrefix="0" xfId="0"/>
    <xf numFmtId="0" fontId="7" fillId="0" borderId="0" pivotButton="0" quotePrefix="0" xfId="0"/>
    <xf numFmtId="0" fontId="4" fillId="2" borderId="1" applyAlignment="1" pivotButton="0" quotePrefix="0" xfId="0">
      <alignment horizontal="center" vertical="top" wrapText="1"/>
    </xf>
    <xf numFmtId="0" fontId="1" fillId="0" borderId="1" applyAlignment="1" pivotButton="0" quotePrefix="0" xfId="0">
      <alignment horizontal="center" vertical="top"/>
    </xf>
    <xf numFmtId="0" fontId="1" fillId="0" borderId="1" applyAlignment="1" pivotButton="0" quotePrefix="0" xfId="0">
      <alignment vertical="top" wrapText="1"/>
    </xf>
    <xf numFmtId="0" fontId="1" fillId="3" borderId="1" applyAlignment="1" pivotButton="0" quotePrefix="0" xfId="0">
      <alignment horizontal="center" vertical="top"/>
    </xf>
    <xf numFmtId="9" fontId="1" fillId="0" borderId="1" applyAlignment="1" pivotButton="0" quotePrefix="0" xfId="0">
      <alignment horizontal="center" vertical="top"/>
    </xf>
    <xf numFmtId="0" fontId="5" fillId="4" borderId="1" applyAlignment="1" pivotButton="0" quotePrefix="0" xfId="0">
      <alignment horizontal="center"/>
    </xf>
    <xf numFmtId="9" fontId="5" fillId="4" borderId="1" applyAlignment="1" pivotButton="0" quotePrefix="0" xfId="0">
      <alignment horizontal="center"/>
    </xf>
    <xf numFmtId="0" fontId="1" fillId="0" borderId="0" pivotButton="0" quotePrefix="0" xfId="0"/>
    <xf numFmtId="0" fontId="5" fillId="0" borderId="1" applyAlignment="1" pivotButton="0" quotePrefix="0" xfId="0">
      <alignment horizontal="center" vertical="top" wrapText="1"/>
    </xf>
    <xf numFmtId="0" fontId="1" fillId="0" borderId="1" applyAlignment="1" pivotButton="0" quotePrefix="0" xfId="0">
      <alignment horizontal="center" vertical="top" wrapText="1"/>
    </xf>
    <xf numFmtId="0" fontId="1" fillId="3" borderId="1" applyAlignment="1" pivotButton="0" quotePrefix="0" xfId="0">
      <alignment horizontal="center" vertical="top" wrapText="1"/>
    </xf>
    <xf numFmtId="0" fontId="1" fillId="3" borderId="1" applyAlignment="1" pivotButton="0" quotePrefix="0" xfId="0">
      <alignment vertical="top" wrapText="1"/>
    </xf>
    <xf numFmtId="0" fontId="1" fillId="0" borderId="1" applyAlignment="1" pivotButton="0" quotePrefix="0" xfId="0">
      <alignment horizontal="left"/>
    </xf>
    <xf numFmtId="0" fontId="1" fillId="0" borderId="1" applyAlignment="1" pivotButton="0" quotePrefix="0" xfId="0">
      <alignment horizontal="center"/>
    </xf>
    <xf numFmtId="9" fontId="1" fillId="0" borderId="1" applyAlignment="1" pivotButton="0" quotePrefix="0" xfId="0">
      <alignment horizontal="center"/>
    </xf>
    <xf numFmtId="0" fontId="5" fillId="4" borderId="1" pivotButton="0" quotePrefix="0" xfId="0"/>
    <xf numFmtId="9" fontId="5" fillId="4" borderId="1" pivotButton="0" quotePrefix="0" xfId="0"/>
  </cellXfs>
  <cellStyles count="1">
    <cellStyle name="Normal" xfId="0" builtinId="0" hidden="0"/>
  </cellStyles>
  <dxfs count="4">
    <dxf>
      <font>
        <name val="Arial"/>
        <b val="1"/>
        <color rgb="009C0006"/>
      </font>
      <fill>
        <patternFill patternType="solid">
          <fgColor rgb="00FFC7CE"/>
        </patternFill>
      </fill>
    </dxf>
    <dxf>
      <font>
        <name val="Arial"/>
        <b val="1"/>
        <color rgb="00006100"/>
      </font>
      <fill>
        <patternFill patternType="solid">
          <fgColor rgb="00C6EFCE"/>
        </patternFill>
      </fill>
    </dxf>
    <dxf>
      <font>
        <name val="Arial"/>
        <b val="1"/>
        <color rgb="001F4E78"/>
      </font>
      <fill>
        <patternFill patternType="solid">
          <fgColor rgb="00DDEBF7"/>
        </patternFill>
      </fill>
    </dxf>
    <dxf>
      <font>
        <name val="Arial"/>
        <b val="1"/>
        <color rgb="009C5700"/>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24" customWidth="1" min="1" max="1"/>
    <col width="100" customWidth="1" min="2" max="2"/>
  </cols>
  <sheetData>
    <row r="1">
      <c r="A1" s="1" t="inlineStr">
        <is>
          <t>Product Backlog – CamHub v1.0</t>
        </is>
      </c>
      <c r="B1" s="2" t="n"/>
    </row>
    <row r="2">
      <c r="A2" s="2" t="inlineStr">
        <is>
          <t>Phiên bản</t>
        </is>
      </c>
      <c r="B2" s="2" t="inlineStr">
        <is>
          <t>0.1 · 23/10/2026 · nguồn chi tiết: User_Stories_IP_Camera_Web.md</t>
        </is>
      </c>
    </row>
    <row r="3">
      <c r="A3" s="2" t="n"/>
      <c r="B3" s="2" t="n"/>
    </row>
    <row r="4">
      <c r="A4" s="3" t="inlineStr">
        <is>
          <t>Cách dùng</t>
        </is>
      </c>
      <c r="B4" s="2" t="n"/>
    </row>
    <row r="5">
      <c r="A5" s="2" t="inlineStr">
        <is>
          <t>1</t>
        </is>
      </c>
      <c r="B5" s="2" t="inlineStr">
        <is>
          <t>Sheet "Backlog": mỗi dòng là một enabler (TS) hoặc user story (US). Cập nhật các ô nền vàng: Điểm, Sprint, Trạng thái, Người phụ trách.</t>
        </is>
      </c>
    </row>
    <row r="6">
      <c r="A6" s="2" t="inlineStr">
        <is>
          <t>2</t>
        </is>
      </c>
      <c r="B6" s="2" t="inlineStr">
        <is>
          <t>Cột "Mốc" tự tra theo Sprint từ sheet "Kế hoạch sprint"; không nhập tay.</t>
        </is>
      </c>
    </row>
    <row r="7">
      <c r="A7" s="2" t="inlineStr">
        <is>
          <t>3</t>
        </is>
      </c>
      <c r="B7" s="2" t="inlineStr">
        <is>
          <t>Sheet "Kế hoạch sprint": đổi năng lực mặc định ở ô B2 (hiện 30 điểm). Cột tỷ lệ tô đỏ khi sprint vượt năng lực.</t>
        </is>
      </c>
    </row>
    <row r="8">
      <c r="A8" s="2" t="inlineStr">
        <is>
          <t>4</t>
        </is>
      </c>
      <c r="B8" s="2" t="inlineStr">
        <is>
          <t>Sheet "Epic" và "Mốc" tự tổng hợp từ Backlog bằng công thức.</t>
        </is>
      </c>
    </row>
    <row r="9">
      <c r="A9" s="2" t="n"/>
      <c r="B9" s="2" t="n"/>
    </row>
    <row r="10">
      <c r="A10" s="3" t="inlineStr">
        <is>
          <t>Trạng thái</t>
        </is>
      </c>
      <c r="B10" s="2" t="n"/>
    </row>
    <row r="11">
      <c r="A11" s="2" t="inlineStr">
        <is>
          <t>To Do</t>
        </is>
      </c>
      <c r="B11" s="2" t="inlineStr">
        <is>
          <t>Chưa bắt đầu</t>
        </is>
      </c>
    </row>
    <row r="12">
      <c r="A12" s="2" t="inlineStr">
        <is>
          <t>In Progress</t>
        </is>
      </c>
      <c r="B12" s="2" t="inlineStr">
        <is>
          <t>Đang làm</t>
        </is>
      </c>
    </row>
    <row r="13">
      <c r="A13" s="2" t="inlineStr">
        <is>
          <t>In Review</t>
        </is>
      </c>
      <c r="B13" s="2" t="inlineStr">
        <is>
          <t>Đang review code / chờ PO chấp nhận</t>
        </is>
      </c>
    </row>
    <row r="14">
      <c r="A14" s="2" t="inlineStr">
        <is>
          <t>Done</t>
        </is>
      </c>
      <c r="B14" s="2" t="inlineStr">
        <is>
          <t>Đạt Definition of Done</t>
        </is>
      </c>
    </row>
    <row r="15">
      <c r="A15" s="2" t="inlineStr">
        <is>
          <t>Blocked</t>
        </is>
      </c>
      <c r="B15" s="2" t="inlineStr">
        <is>
          <t>Bị chặn; ghi lý do ở cột Ghi chú</t>
        </is>
      </c>
    </row>
    <row r="16">
      <c r="A16" s="2" t="n"/>
      <c r="B16" s="2" t="n"/>
    </row>
    <row r="17">
      <c r="A17" s="3" t="inlineStr">
        <is>
          <t>Definition of Ready</t>
        </is>
      </c>
      <c r="B17" s="2" t="n"/>
    </row>
    <row r="18">
      <c r="A18" s="2" t="inlineStr">
        <is>
          <t>•</t>
        </is>
      </c>
      <c r="B18" s="2" t="inlineStr">
        <is>
          <t>Story viết theo mẫu "Là … tôi muốn … để …" và đáp ứng INVEST</t>
        </is>
      </c>
    </row>
    <row r="19">
      <c r="A19" s="2" t="inlineStr">
        <is>
          <t>•</t>
        </is>
      </c>
      <c r="B19" s="2" t="inlineStr">
        <is>
          <t>Có tiêu chí chấp nhận Given/When/Then, PO đã đồng ý</t>
        </is>
      </c>
    </row>
    <row r="20">
      <c r="A20" s="2" t="inlineStr">
        <is>
          <t>•</t>
        </is>
      </c>
      <c r="B20" s="2" t="inlineStr">
        <is>
          <t>Đã ước lượng story point (thang Fibonacci 1, 2, 3, 5, 8; story &gt; 8 phải tách)</t>
        </is>
      </c>
    </row>
    <row r="21">
      <c r="A21" s="2" t="inlineStr">
        <is>
          <t>•</t>
        </is>
      </c>
      <c r="B21" s="2" t="inlineStr">
        <is>
          <t>Phụ thuộc đã xong hoặc nằm cùng sprint, đứng trước</t>
        </is>
      </c>
    </row>
    <row r="22">
      <c r="A22" s="2" t="inlineStr">
        <is>
          <t>•</t>
        </is>
      </c>
      <c r="B22" s="2" t="inlineStr">
        <is>
          <t>Có màn hình tham chiếu trong design/ (nếu có giao diện)</t>
        </is>
      </c>
    </row>
    <row r="23">
      <c r="A23" s="2" t="inlineStr">
        <is>
          <t>•</t>
        </is>
      </c>
      <c r="B23" s="2" t="inlineStr">
        <is>
          <t>Câu hỏi mở liên quan đã được trả lời hoặc ghi giả định</t>
        </is>
      </c>
    </row>
    <row r="24">
      <c r="A24" s="2" t="n"/>
      <c r="B24" s="2" t="n"/>
    </row>
    <row r="25">
      <c r="A25" s="3" t="inlineStr">
        <is>
          <t>Definition of Done</t>
        </is>
      </c>
      <c r="B25" s="2" t="n"/>
    </row>
    <row r="26">
      <c r="A26" s="2" t="inlineStr">
        <is>
          <t>•</t>
        </is>
      </c>
      <c r="B26" s="2" t="inlineStr">
        <is>
          <t>Code đã review, merge vào main, pipeline CI xanh (gồm kiểm tra kiến trúc)</t>
        </is>
      </c>
    </row>
    <row r="27">
      <c r="A27" s="2" t="inlineStr">
        <is>
          <t>•</t>
        </is>
      </c>
      <c r="B27" s="2" t="inlineStr">
        <is>
          <t>Unit test cho logic nghiệp vụ; test tự động cho từng kịch bản Given/When/Then</t>
        </is>
      </c>
    </row>
    <row r="28">
      <c r="A28" s="2" t="inlineStr">
        <is>
          <t>•</t>
        </is>
      </c>
      <c r="B28" s="2" t="inlineStr">
        <is>
          <t>Kiểm tra quyền ở API (không chỉ ẩn nút trên giao diện); thao tác quan trọng ghi nhật ký</t>
        </is>
      </c>
    </row>
    <row r="29">
      <c r="A29" s="2" t="inlineStr">
        <is>
          <t>•</t>
        </is>
      </c>
      <c r="B29" s="2" t="inlineStr">
        <is>
          <t>Giao diện có tiếng Việt và tiếng Anh, dùng được ở 360px, đúng màn hình trong design/</t>
        </is>
      </c>
    </row>
    <row r="30">
      <c r="A30" s="2" t="inlineStr">
        <is>
          <t>•</t>
        </is>
      </c>
      <c r="B30" s="2" t="inlineStr">
        <is>
          <t>Không còn lỗi mức nghiêm trọng/cao; quét phụ thuộc không có lỗ hổng mức cao</t>
        </is>
      </c>
    </row>
    <row r="31">
      <c r="A31" s="2" t="inlineStr">
        <is>
          <t>•</t>
        </is>
      </c>
      <c r="B31" s="2" t="inlineStr">
        <is>
          <t>Tài liệu API (OpenAPI) cập nhật; PO chấp nhận trên môi trường staging</t>
        </is>
      </c>
    </row>
    <row r="32">
      <c r="A32" s="2" t="n"/>
      <c r="B32" s="2" t="n"/>
    </row>
    <row r="33">
      <c r="A33" s="2" t="inlineStr">
        <is>
          <t>Giả định</t>
        </is>
      </c>
      <c r="B33" s="2" t="inlineStr">
        <is>
          <t>Năng lực 30 điểm/sprint 2 tuần; điểm do BA ước lượng ban đầu, đội phát triển cần ước lượng lại.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showGridLines="0" workbookViewId="0">
      <selection activeCell="A1" sqref="A1"/>
    </sheetView>
  </sheetViews>
  <sheetFormatPr baseColWidth="8" defaultRowHeight="15"/>
  <cols>
    <col width="8" customWidth="1" min="1" max="1"/>
    <col width="18" customWidth="1" min="2" max="2"/>
    <col width="60" customWidth="1" min="3" max="3"/>
    <col width="10" customWidth="1" min="4" max="4"/>
    <col width="13" customWidth="1" min="5" max="5"/>
    <col width="13" customWidth="1" min="6" max="6"/>
    <col width="9" customWidth="1" min="7" max="7"/>
    <col width="11" customWidth="1" min="8" max="8"/>
    <col width="12" customWidth="1" min="9" max="9"/>
  </cols>
  <sheetData>
    <row r="1">
      <c r="A1" s="4" t="inlineStr">
        <is>
          <t>Kế hoạch sprint (2 tuần/sprint)</t>
        </is>
      </c>
    </row>
    <row r="2">
      <c r="A2" s="5" t="inlineStr">
        <is>
          <t>Năng lực mặc định (điểm/sprint)</t>
        </is>
      </c>
      <c r="B2" s="6" t="n">
        <v>30</v>
      </c>
      <c r="C2" s="7" t="inlineStr">
        <is>
          <t>Nguồn: giả định đội 5–6 người (đã chốt với người dùng 23/10/2026)</t>
        </is>
      </c>
    </row>
    <row r="4">
      <c r="A4" s="8" t="inlineStr">
        <is>
          <t>Sprint</t>
        </is>
      </c>
      <c r="B4" s="8" t="inlineStr">
        <is>
          <t>Mốc</t>
        </is>
      </c>
      <c r="C4" s="8" t="inlineStr">
        <is>
          <t>Mục tiêu sprint</t>
        </is>
      </c>
      <c r="D4" s="8" t="inlineStr">
        <is>
          <t>Năng lực</t>
        </is>
      </c>
      <c r="E4" s="8" t="inlineStr">
        <is>
          <t>Điểm kế hoạch</t>
        </is>
      </c>
      <c r="F4" s="8" t="inlineStr">
        <is>
          <t>Tỷ lệ sử dụng</t>
        </is>
      </c>
      <c r="G4" s="8" t="inlineStr">
        <is>
          <t>Số item</t>
        </is>
      </c>
      <c r="H4" s="8" t="inlineStr">
        <is>
          <t>Điểm Done</t>
        </is>
      </c>
      <c r="I4" s="8" t="inlineStr">
        <is>
          <t>Điểm còn lại</t>
        </is>
      </c>
    </row>
    <row r="5">
      <c r="A5" s="9" t="inlineStr">
        <is>
          <t>S0</t>
        </is>
      </c>
      <c r="B5" s="9" t="inlineStr">
        <is>
          <t>M0 – PoC &amp; nền tảng</t>
        </is>
      </c>
      <c r="C5" s="10" t="inlineStr">
        <is>
          <t>Dựng khung dự án, môi trường Docker Compose, PoC MediaMTX, nền tảng Core</t>
        </is>
      </c>
      <c r="D5" s="11">
        <f>$B$2</f>
        <v/>
      </c>
      <c r="E5" s="9">
        <f>SUMIFS(Backlog!$G$2:$G$53,Backlog!$H$2:$H$53,A5)</f>
        <v/>
      </c>
      <c r="F5" s="12">
        <f>IF(D5=0,"-",E5/D5)</f>
        <v/>
      </c>
      <c r="G5" s="9">
        <f>COUNTIFS(Backlog!$H$2:$H$53,A5)</f>
        <v/>
      </c>
      <c r="H5" s="9">
        <f>SUMIFS(Backlog!$G$2:$G$53,Backlog!$H$2:$H$53,A5,Backlog!$J$2:$J$53,"Done")</f>
        <v/>
      </c>
      <c r="I5" s="9">
        <f>E5-H5</f>
        <v/>
      </c>
    </row>
    <row r="6">
      <c r="A6" s="9" t="inlineStr">
        <is>
          <t>S1</t>
        </is>
      </c>
      <c r="B6" s="9" t="inlineStr">
        <is>
          <t>M1 – Alpha</t>
        </is>
      </c>
      <c r="C6" s="10" t="inlineStr">
        <is>
          <t>Đăng nhập, cây địa điểm và phân quyền theo phạm vi</t>
        </is>
      </c>
      <c r="D6" s="11">
        <f>$B$2</f>
        <v/>
      </c>
      <c r="E6" s="9">
        <f>SUMIFS(Backlog!$G$2:$G$53,Backlog!$H$2:$H$53,A6)</f>
        <v/>
      </c>
      <c r="F6" s="12">
        <f>IF(D6=0,"-",E6/D6)</f>
        <v/>
      </c>
      <c r="G6" s="9">
        <f>COUNTIFS(Backlog!$H$2:$H$53,A6)</f>
        <v/>
      </c>
      <c r="H6" s="9">
        <f>SUMIFS(Backlog!$G$2:$G$53,Backlog!$H$2:$H$53,A6,Backlog!$J$2:$J$53,"Done")</f>
        <v/>
      </c>
      <c r="I6" s="9">
        <f>E6-H6</f>
        <v/>
      </c>
    </row>
    <row r="7">
      <c r="A7" s="9" t="inlineStr">
        <is>
          <t>S2</t>
        </is>
      </c>
      <c r="B7" s="9" t="inlineStr">
        <is>
          <t>M1 – Alpha</t>
        </is>
      </c>
      <c r="C7" s="10" t="inlineStr">
        <is>
          <t>2FA, nhật ký; thêm camera (thủ công, dò tìm) và theo dõi trạng thái</t>
        </is>
      </c>
      <c r="D7" s="11">
        <f>$B$2</f>
        <v/>
      </c>
      <c r="E7" s="9">
        <f>SUMIFS(Backlog!$G$2:$G$53,Backlog!$H$2:$H$53,A7)</f>
        <v/>
      </c>
      <c r="F7" s="12">
        <f>IF(D7=0,"-",E7/D7)</f>
        <v/>
      </c>
      <c r="G7" s="9">
        <f>COUNTIFS(Backlog!$H$2:$H$53,A7)</f>
        <v/>
      </c>
      <c r="H7" s="9">
        <f>SUMIFS(Backlog!$G$2:$G$53,Backlog!$H$2:$H$53,A7,Backlog!$J$2:$J$53,"Done")</f>
        <v/>
      </c>
      <c r="I7" s="9">
        <f>E7-H7</f>
        <v/>
      </c>
    </row>
    <row r="8">
      <c r="A8" s="9" t="inlineStr">
        <is>
          <t>S3</t>
        </is>
      </c>
      <c r="B8" s="9" t="inlineStr">
        <is>
          <t>M1 – Alpha</t>
        </is>
      </c>
      <c r="C8" s="10" t="inlineStr">
        <is>
          <t>Xem trực tiếp: lưới, bố cục, PTZ, preset</t>
        </is>
      </c>
      <c r="D8" s="11">
        <f>$B$2</f>
        <v/>
      </c>
      <c r="E8" s="9">
        <f>SUMIFS(Backlog!$G$2:$G$53,Backlog!$H$2:$H$53,A8)</f>
        <v/>
      </c>
      <c r="F8" s="12">
        <f>IF(D8=0,"-",E8/D8)</f>
        <v/>
      </c>
      <c r="G8" s="9">
        <f>COUNTIFS(Backlog!$H$2:$H$53,A8)</f>
        <v/>
      </c>
      <c r="H8" s="9">
        <f>SUMIFS(Backlog!$G$2:$G$53,Backlog!$H$2:$H$53,A8,Backlog!$J$2:$J$53,"Done")</f>
        <v/>
      </c>
      <c r="I8" s="9">
        <f>E8-H8</f>
        <v/>
      </c>
    </row>
    <row r="9">
      <c r="A9" s="9" t="inlineStr">
        <is>
          <t>S4</t>
        </is>
      </c>
      <c r="B9" s="9" t="inlineStr">
        <is>
          <t>M1 – Alpha</t>
        </is>
      </c>
      <c r="C9" s="10" t="inlineStr">
        <is>
          <t>Ghi hình, timeline, phát lại, thời gian lưu trữ; cấu hình luồng</t>
        </is>
      </c>
      <c r="D9" s="11">
        <f>$B$2</f>
        <v/>
      </c>
      <c r="E9" s="9">
        <f>SUMIFS(Backlog!$G$2:$G$53,Backlog!$H$2:$H$53,A9)</f>
        <v/>
      </c>
      <c r="F9" s="12">
        <f>IF(D9=0,"-",E9/D9)</f>
        <v/>
      </c>
      <c r="G9" s="9">
        <f>COUNTIFS(Backlog!$H$2:$H$53,A9)</f>
        <v/>
      </c>
      <c r="H9" s="9">
        <f>SUMIFS(Backlog!$G$2:$G$53,Backlog!$H$2:$H$53,A9,Backlog!$J$2:$J$53,"Done")</f>
        <v/>
      </c>
      <c r="I9" s="9">
        <f>E9-H9</f>
        <v/>
      </c>
    </row>
    <row r="10">
      <c r="A10" s="9" t="inlineStr">
        <is>
          <t>S5</t>
        </is>
      </c>
      <c r="B10" s="9" t="inlineStr">
        <is>
          <t>M1 – Alpha</t>
        </is>
      </c>
      <c r="C10" s="10" t="inlineStr">
        <is>
          <t>Xuất clip, vùng chuyển động, cảnh báo hệ thống, tổng quan, sao lưu</t>
        </is>
      </c>
      <c r="D10" s="11">
        <f>$B$2</f>
        <v/>
      </c>
      <c r="E10" s="9">
        <f>SUMIFS(Backlog!$G$2:$G$53,Backlog!$H$2:$H$53,A10)</f>
        <v/>
      </c>
      <c r="F10" s="12">
        <f>IF(D10=0,"-",E10/D10)</f>
        <v/>
      </c>
      <c r="G10" s="9">
        <f>COUNTIFS(Backlog!$H$2:$H$53,A10)</f>
        <v/>
      </c>
      <c r="H10" s="9">
        <f>SUMIFS(Backlog!$G$2:$G$53,Backlog!$H$2:$H$53,A10,Backlog!$J$2:$J$53,"Done")</f>
        <v/>
      </c>
      <c r="I10" s="9">
        <f>E10-H10</f>
        <v/>
      </c>
    </row>
    <row r="11">
      <c r="A11" s="9" t="inlineStr">
        <is>
          <t>S6</t>
        </is>
      </c>
      <c r="B11" s="9" t="inlineStr">
        <is>
          <t>M2 – Beta pilot</t>
        </is>
      </c>
      <c r="C11" s="10" t="inlineStr">
        <is>
          <t>Bộ kết nối địa điểm, đầu ghi NVR, chất lượng luồng, tiện ích xem</t>
        </is>
      </c>
      <c r="D11" s="11">
        <f>$B$2</f>
        <v/>
      </c>
      <c r="E11" s="9">
        <f>SUMIFS(Backlog!$G$2:$G$53,Backlog!$H$2:$H$53,A11)</f>
        <v/>
      </c>
      <c r="F11" s="12">
        <f>IF(D11=0,"-",E11/D11)</f>
        <v/>
      </c>
      <c r="G11" s="9">
        <f>COUNTIFS(Backlog!$H$2:$H$53,A11)</f>
        <v/>
      </c>
      <c r="H11" s="9">
        <f>SUMIFS(Backlog!$G$2:$G$53,Backlog!$H$2:$H$53,A11,Backlog!$J$2:$J$53,"Done")</f>
        <v/>
      </c>
      <c r="I11" s="9">
        <f>E11-H11</f>
        <v/>
      </c>
    </row>
    <row r="12">
      <c r="A12" s="9" t="inlineStr">
        <is>
          <t>S7</t>
        </is>
      </c>
      <c r="B12" s="9" t="inlineStr">
        <is>
          <t>M2 – Beta pilot</t>
        </is>
      </c>
      <c r="C12" s="10" t="inlineStr">
        <is>
          <t>Cảnh báo đa kênh và xử lý; xem lại từ thiết bị</t>
        </is>
      </c>
      <c r="D12" s="11">
        <f>$B$2</f>
        <v/>
      </c>
      <c r="E12" s="9">
        <f>SUMIFS(Backlog!$G$2:$G$53,Backlog!$H$2:$H$53,A12)</f>
        <v/>
      </c>
      <c r="F12" s="12">
        <f>IF(D12=0,"-",E12/D12)</f>
        <v/>
      </c>
      <c r="G12" s="9">
        <f>COUNTIFS(Backlog!$H$2:$H$53,A12)</f>
        <v/>
      </c>
      <c r="H12" s="9">
        <f>SUMIFS(Backlog!$G$2:$G$53,Backlog!$H$2:$H$53,A12,Backlog!$J$2:$J$53,"Done")</f>
        <v/>
      </c>
      <c r="I12" s="9">
        <f>E12-H12</f>
        <v/>
      </c>
    </row>
    <row r="13">
      <c r="A13" s="9" t="inlineStr">
        <is>
          <t>S8</t>
        </is>
      </c>
      <c r="B13" s="9" t="inlineStr">
        <is>
          <t>M2 – Beta pilot</t>
        </is>
      </c>
      <c r="C13" s="10" t="inlineStr">
        <is>
          <t>Đồng bộ nhiều camera, cấu hình mẫu, vai trò tùy chỉnh, LDAP/AD</t>
        </is>
      </c>
      <c r="D13" s="11">
        <f>$B$2</f>
        <v/>
      </c>
      <c r="E13" s="9">
        <f>SUMIFS(Backlog!$G$2:$G$53,Backlog!$H$2:$H$53,A13)</f>
        <v/>
      </c>
      <c r="F13" s="12">
        <f>IF(D13=0,"-",E13/D13)</f>
        <v/>
      </c>
      <c r="G13" s="9">
        <f>COUNTIFS(Backlog!$H$2:$H$53,A13)</f>
        <v/>
      </c>
      <c r="H13" s="9">
        <f>SUMIFS(Backlog!$G$2:$G$53,Backlog!$H$2:$H$53,A13,Backlog!$J$2:$J$53,"Done")</f>
        <v/>
      </c>
      <c r="I13" s="9">
        <f>E13-H13</f>
        <v/>
      </c>
    </row>
    <row r="14">
      <c r="A14" s="9" t="inlineStr">
        <is>
          <t>S9</t>
        </is>
      </c>
      <c r="B14" s="9" t="inlineStr">
        <is>
          <t>M3 – GA</t>
        </is>
      </c>
      <c r="C14" s="10" t="inlineStr">
        <is>
          <t>Story Could, kiểm thử tải và bảo mật, sửa lỗi pilot, UAT</t>
        </is>
      </c>
      <c r="D14" s="11">
        <f>$B$2</f>
        <v/>
      </c>
      <c r="E14" s="9">
        <f>SUMIFS(Backlog!$G$2:$G$53,Backlog!$H$2:$H$53,A14)</f>
        <v/>
      </c>
      <c r="F14" s="12">
        <f>IF(D14=0,"-",E14/D14)</f>
        <v/>
      </c>
      <c r="G14" s="9">
        <f>COUNTIFS(Backlog!$H$2:$H$53,A14)</f>
        <v/>
      </c>
      <c r="H14" s="9">
        <f>SUMIFS(Backlog!$G$2:$G$53,Backlog!$H$2:$H$53,A14,Backlog!$J$2:$J$53,"Done")</f>
        <v/>
      </c>
      <c r="I14" s="9">
        <f>E14-H14</f>
        <v/>
      </c>
    </row>
    <row r="15">
      <c r="A15" s="13" t="inlineStr">
        <is>
          <t>Tổng</t>
        </is>
      </c>
      <c r="B15" s="13" t="n"/>
      <c r="C15" s="13" t="n"/>
      <c r="D15" s="13">
        <f>SUM(D5:D14)</f>
        <v/>
      </c>
      <c r="E15" s="13">
        <f>SUM(E5:E14)</f>
        <v/>
      </c>
      <c r="F15" s="14">
        <f>IF(D15=0,"-",E15/D15)</f>
        <v/>
      </c>
      <c r="G15" s="13">
        <f>SUM(G5:G14)</f>
        <v/>
      </c>
      <c r="H15" s="13">
        <f>SUM(H5:H14)</f>
        <v/>
      </c>
      <c r="I15" s="13">
        <f>SUM(I5:I14)</f>
        <v/>
      </c>
    </row>
    <row r="16">
      <c r="A16" s="7" t="inlineStr">
        <is>
          <t>Kiểm tra: điểm của item chưa xếp sprint</t>
        </is>
      </c>
      <c r="E16" s="15">
        <f>SUM(Backlog!$G$2:$G$53)-E15</f>
        <v/>
      </c>
    </row>
  </sheetData>
  <conditionalFormatting sqref="F5:F14">
    <cfRule type="cellIs" priority="1" operator="greaterThan" dxfId="0">
      <formula>1</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26" customWidth="1" min="3" max="3"/>
    <col width="32" customWidth="1" min="4" max="4"/>
    <col width="50" customWidth="1" min="5" max="5"/>
    <col width="9" customWidth="1" min="6" max="6"/>
    <col width="7" customWidth="1" min="7" max="7"/>
    <col width="8" customWidth="1" min="8" max="8"/>
    <col width="18" customWidth="1" min="9" max="9"/>
    <col width="12" customWidth="1" min="10" max="10"/>
    <col width="18" customWidth="1" min="11" max="11"/>
    <col width="16" customWidth="1" min="12" max="12"/>
    <col width="16" customWidth="1" min="13" max="13"/>
    <col width="26" customWidth="1" min="14" max="14"/>
    <col width="30" customWidth="1" min="15" max="15"/>
    <col width="70" customWidth="1" min="16" max="16"/>
    <col width="16" customWidth="1" min="17" max="17"/>
    <col width="45" customWidth="1" min="18" max="18"/>
  </cols>
  <sheetData>
    <row r="1" ht="30" customHeight="1">
      <c r="A1" s="8" t="inlineStr">
        <is>
          <t>ID</t>
        </is>
      </c>
      <c r="B1" s="8" t="inlineStr">
        <is>
          <t>Loại</t>
        </is>
      </c>
      <c r="C1" s="8" t="inlineStr">
        <is>
          <t>Epic</t>
        </is>
      </c>
      <c r="D1" s="8" t="inlineStr">
        <is>
          <t>Tiêu đề</t>
        </is>
      </c>
      <c r="E1" s="8" t="inlineStr">
        <is>
          <t>User story</t>
        </is>
      </c>
      <c r="F1" s="8" t="inlineStr">
        <is>
          <t>Ưu tiên</t>
        </is>
      </c>
      <c r="G1" s="8" t="inlineStr">
        <is>
          <t>Điểm</t>
        </is>
      </c>
      <c r="H1" s="8" t="inlineStr">
        <is>
          <t>Sprint</t>
        </is>
      </c>
      <c r="I1" s="8" t="inlineStr">
        <is>
          <t>Mốc</t>
        </is>
      </c>
      <c r="J1" s="8" t="inlineStr">
        <is>
          <t>Trạng thái</t>
        </is>
      </c>
      <c r="K1" s="8" t="inlineStr">
        <is>
          <t>Phụ thuộc</t>
        </is>
      </c>
      <c r="L1" s="8" t="inlineStr">
        <is>
          <t>BR</t>
        </is>
      </c>
      <c r="M1" s="8" t="inlineStr">
        <is>
          <t>Use case</t>
        </is>
      </c>
      <c r="N1" s="8" t="inlineStr">
        <is>
          <t>Màn hình</t>
        </is>
      </c>
      <c r="O1" s="8" t="inlineStr">
        <is>
          <t>Thành phần SADD</t>
        </is>
      </c>
      <c r="P1" s="8" t="inlineStr">
        <is>
          <t>Tiêu chí chấp nhận (Gherkin)</t>
        </is>
      </c>
      <c r="Q1" s="8" t="inlineStr">
        <is>
          <t>Người phụ trách</t>
        </is>
      </c>
      <c r="R1" s="8" t="inlineStr">
        <is>
          <t>Ghi chú kỹ thuật</t>
        </is>
      </c>
    </row>
    <row r="2">
      <c r="A2" s="16" t="inlineStr">
        <is>
          <t>TS-01</t>
        </is>
      </c>
      <c r="B2" s="17" t="inlineStr">
        <is>
          <t>Enabler</t>
        </is>
      </c>
      <c r="C2" s="10" t="inlineStr">
        <is>
          <t>EP-00 Nền tảng kỹ thuật (enabler)</t>
        </is>
      </c>
      <c r="D2" s="10" t="inlineStr">
        <is>
          <t>Khung dự án và CI/CD</t>
        </is>
      </c>
      <c r="E2" s="10" t="inlineStr">
        <is>
          <t>Là Đội phát triển, tôi muốn có repo, build, lint, test và kiểm tra kiến trúc tự động cho Core, Gateway, Worker, Web, để mọi story sau dùng chung một quy trình chất lượng.</t>
        </is>
      </c>
      <c r="F2" s="17" t="inlineStr">
        <is>
          <t>Must</t>
        </is>
      </c>
      <c r="G2" s="18" t="n">
        <v>5</v>
      </c>
      <c r="H2" s="18" t="inlineStr">
        <is>
          <t>S0</t>
        </is>
      </c>
      <c r="I2" s="10">
        <f>IFERROR(VLOOKUP(H2,'Kế hoạch sprint'!$A$5:$B$14,2,FALSE),"")</f>
        <v/>
      </c>
      <c r="J2" s="18" t="inlineStr">
        <is>
          <t>To Do</t>
        </is>
      </c>
      <c r="K2" s="10" t="inlineStr">
        <is>
          <t>—</t>
        </is>
      </c>
      <c r="L2" s="10" t="inlineStr">
        <is>
          <t>—</t>
        </is>
      </c>
      <c r="M2" s="10" t="inlineStr">
        <is>
          <t>—</t>
        </is>
      </c>
      <c r="N2" s="10" t="inlineStr">
        <is>
          <t>—</t>
        </is>
      </c>
      <c r="O2" s="10" t="inlineStr">
        <is>
          <t>3.8 Structure; 3.4 Dependency</t>
        </is>
      </c>
      <c r="P2" s="10" t="inlineStr">
        <is>
          <t>Kịch bản: Pipeline chạy khi có pull request
  Giả sử một pull request vào nhánh main
  Khi pipeline CI chạy
  Thì build, unit test, lint và kiểm tra kiến trúc của cả 4 thành phần đều chạy
  Và pull request bị chặn nếu một bước thất bại
Kịch bản: Phát hiện phụ thuộc vòng giữa module
  Giả sử module recording gọi trực tiếp repository của module device
  Khi kiểm tra kiến trúc chạy
  Thì build thất bại và chỉ ra vi phạm</t>
        </is>
      </c>
      <c r="Q2" s="19" t="n"/>
      <c r="R2" s="10" t="inlineStr">
        <is>
          <t>Monorepo theo SADD 3.8; Gradle + ArchUnit/Spring Modulith (cấm phụ thuộc vòng), pytest, Vitest; quét phụ thuộc OWASP/pip-audit/npm audit.</t>
        </is>
      </c>
    </row>
    <row r="3">
      <c r="A3" s="16" t="inlineStr">
        <is>
          <t>TS-02</t>
        </is>
      </c>
      <c r="B3" s="17" t="inlineStr">
        <is>
          <t>Enabler</t>
        </is>
      </c>
      <c r="C3" s="10" t="inlineStr">
        <is>
          <t>EP-00 Nền tảng kỹ thuật (enabler)</t>
        </is>
      </c>
      <c r="D3" s="10" t="inlineStr">
        <is>
          <t>Môi trường Docker Compose dev/staging</t>
        </is>
      </c>
      <c r="E3" s="10" t="inlineStr">
        <is>
          <t>Là Đội phát triển, tôi muốn dựng toàn bộ hệ thống bằng một lệnh, để mọi người phát triển và kiểm thử trên cùng cấu hình.</t>
        </is>
      </c>
      <c r="F3" s="17" t="inlineStr">
        <is>
          <t>Must</t>
        </is>
      </c>
      <c r="G3" s="18" t="n">
        <v>5</v>
      </c>
      <c r="H3" s="18" t="inlineStr">
        <is>
          <t>S0</t>
        </is>
      </c>
      <c r="I3" s="10">
        <f>IFERROR(VLOOKUP(H3,'Kế hoạch sprint'!$A$5:$B$14,2,FALSE),"")</f>
        <v/>
      </c>
      <c r="J3" s="18" t="inlineStr">
        <is>
          <t>To Do</t>
        </is>
      </c>
      <c r="K3" s="10" t="inlineStr">
        <is>
          <t>TS-01</t>
        </is>
      </c>
      <c r="L3" s="10" t="inlineStr">
        <is>
          <t>—</t>
        </is>
      </c>
      <c r="M3" s="10" t="inlineStr">
        <is>
          <t>—</t>
        </is>
      </c>
      <c r="N3" s="10" t="inlineStr">
        <is>
          <t>—</t>
        </is>
      </c>
      <c r="O3" s="10" t="inlineStr">
        <is>
          <t>3.2 Composition; 3.12.2 Triển khai</t>
        </is>
      </c>
      <c r="P3" s="10" t="inlineStr">
        <is>
          <t>Kịch bản: Khởi động môi trường
  Giả sử máy có Docker
  Khi chạy docker compose up
  Thì mọi container ở trạng thái healthy trong 3 phút
  Và trang đăng nhập mở được qua https://localhost</t>
        </is>
      </c>
      <c r="Q3" s="19" t="n"/>
      <c r="R3" s="10" t="inlineStr">
        <is>
          <t>nginx, core, device-gateway, media-worker, mediamtx, postgres, redis, rabbitmq, minio, tunnel-server; secret qua Docker secret; healthcheck cho mọi container.</t>
        </is>
      </c>
    </row>
    <row r="4">
      <c r="A4" s="16" t="inlineStr">
        <is>
          <t>TS-03</t>
        </is>
      </c>
      <c r="B4" s="17" t="inlineStr">
        <is>
          <t>Enabler</t>
        </is>
      </c>
      <c r="C4" s="10" t="inlineStr">
        <is>
          <t>EP-00 Nền tảng kỹ thuật (enabler)</t>
        </is>
      </c>
      <c r="D4" s="10" t="inlineStr">
        <is>
          <t>PoC MediaMTX: WHEP, xác thực ngoài, ghi hình, chuyển mã</t>
        </is>
      </c>
      <c r="E4" s="10" t="inlineStr">
        <is>
          <t>Là Solution Architect, tôi muốn kiểm chứng MediaMTX với camera thật và luồng giả lập, để xác nhận ADR-03 và giảm rủi ro AR-01 trước khi làm tính năng video.</t>
        </is>
      </c>
      <c r="F4" s="17" t="inlineStr">
        <is>
          <t>Must</t>
        </is>
      </c>
      <c r="G4" s="18" t="n">
        <v>8</v>
      </c>
      <c r="H4" s="18" t="inlineStr">
        <is>
          <t>S0</t>
        </is>
      </c>
      <c r="I4" s="10">
        <f>IFERROR(VLOOKUP(H4,'Kế hoạch sprint'!$A$5:$B$14,2,FALSE),"")</f>
        <v/>
      </c>
      <c r="J4" s="18" t="inlineStr">
        <is>
          <t>To Do</t>
        </is>
      </c>
      <c r="K4" s="10" t="inlineStr">
        <is>
          <t>TS-02</t>
        </is>
      </c>
      <c r="L4" s="10" t="inlineStr">
        <is>
          <t>BR-08, BR-14</t>
        </is>
      </c>
      <c r="M4" s="10" t="inlineStr">
        <is>
          <t>UC-20, UC-31</t>
        </is>
      </c>
      <c r="N4" s="10" t="inlineStr">
        <is>
          <t>—</t>
        </is>
      </c>
      <c r="O4" s="10" t="inlineStr">
        <is>
          <t>ADR-03, AR-01, 3.9.2</t>
        </is>
      </c>
      <c r="P4" s="10" t="inlineStr">
        <is>
          <t>Kịch bản: Đạt ngưỡng hiệu năng
  Giả sử 50 camera thật và 450 luồng RTSP giả lập
  Khi 20 phiên WHEP mở đồng thời
  Thì first frame trung vị ≤ 3 giây và độ trễ ≤ 2 giây trong LAN
  Và CPU media node ≤ 70%
Kịch bản: Xác thực từng phiên xem
  Giả sử MediaMTX cấu hình xác thực HTTP tới Core
  Khi trình duyệt gửi WHEP offer với token sai
  Thì MediaMTX từ chối phiên xem</t>
        </is>
      </c>
      <c r="Q4" s="19" t="n"/>
      <c r="R4" s="10" t="inlineStr">
        <is>
          <t>Đo first frame, độ trễ, CPU/RAM với 50 camera thật + 500 luồng giả lập; thử authHTTP, hook hoàn tất đoạn ghi, chuyển mã H.265→H.264. Kết quả ghi vào báo cáo PoC.</t>
        </is>
      </c>
    </row>
    <row r="5">
      <c r="A5" s="16" t="inlineStr">
        <is>
          <t>TS-04</t>
        </is>
      </c>
      <c r="B5" s="17" t="inlineStr">
        <is>
          <t>Enabler</t>
        </is>
      </c>
      <c r="C5" s="10" t="inlineStr">
        <is>
          <t>EP-00 Nền tảng kỹ thuật (enabler)</t>
        </is>
      </c>
      <c r="D5" s="10" t="inlineStr">
        <is>
          <t>Nền tảng Core: ngữ cảnh Tổ chức, RLS, outbox, mã hóa, sự kiện nhật ký</t>
        </is>
      </c>
      <c r="E5" s="10" t="inlineStr">
        <is>
          <t>Là Đội phát triển, tôi muốn có module platform dùng chung, để mọi module nghiệp vụ tự động đáp ứng INV-01, INV-17 và ghi nhật ký.</t>
        </is>
      </c>
      <c r="F5" s="17" t="inlineStr">
        <is>
          <t>Must</t>
        </is>
      </c>
      <c r="G5" s="18" t="n">
        <v>8</v>
      </c>
      <c r="H5" s="18" t="inlineStr">
        <is>
          <t>S0</t>
        </is>
      </c>
      <c r="I5" s="10">
        <f>IFERROR(VLOOKUP(H5,'Kế hoạch sprint'!$A$5:$B$14,2,FALSE),"")</f>
        <v/>
      </c>
      <c r="J5" s="18" t="inlineStr">
        <is>
          <t>To Do</t>
        </is>
      </c>
      <c r="K5" s="10" t="inlineStr">
        <is>
          <t>TS-01</t>
        </is>
      </c>
      <c r="L5" s="10" t="inlineStr">
        <is>
          <t>BR-30; ràng buộc SaaS</t>
        </is>
      </c>
      <c r="M5" s="10" t="inlineStr">
        <is>
          <t>—</t>
        </is>
      </c>
      <c r="N5" s="10" t="inlineStr">
        <is>
          <t>—</t>
        </is>
      </c>
      <c r="O5" s="10" t="inlineStr">
        <is>
          <t>3.5 Information; 3.6 Patterns</t>
        </is>
      </c>
      <c r="P5" s="10" t="inlineStr">
        <is>
          <t>Kịch bản: Cách ly dữ liệu theo Tổ chức
  Giả sử 2 Tổ chức A và B có dữ liệu camera
  Khi một truy vấn chạy với ngữ cảnh Tổ chức A
  Thì chỉ trả về camera của A, kể cả khi truy vấn quên lọc organization_id
Kịch bản: Không mất sự kiện khi broker lỗi
  Giả sử RabbitMQ đang dừng
  Khi một giao dịch nghiệp vụ ghi sự kiện vào outbox
  Thì sự kiện được gửi đi khi RabbitMQ hoạt động lại</t>
        </is>
      </c>
      <c r="Q5" s="19" t="n"/>
      <c r="R5" s="10" t="inlineStr">
        <is>
          <t>organization_id + PostgreSQL RLS; transactional outbox → RabbitMQ; AES-256-GCM envelope encryption; AuditableEvent; Flyway baseline.</t>
        </is>
      </c>
    </row>
    <row r="6">
      <c r="A6" s="16" t="inlineStr">
        <is>
          <t>TS-05</t>
        </is>
      </c>
      <c r="B6" s="17" t="inlineStr">
        <is>
          <t>Enabler</t>
        </is>
      </c>
      <c r="C6" s="10" t="inlineStr">
        <is>
          <t>EP-00 Nền tảng kỹ thuật (enabler)</t>
        </is>
      </c>
      <c r="D6" s="10" t="inlineStr">
        <is>
          <t>Khung Device Gateway và bộ kiểm thử tương thích ONVIF</t>
        </is>
      </c>
      <c r="E6" s="10" t="inlineStr">
        <is>
          <t>Là Đội phát triển, tôi muốn có dịch vụ Python giao tiếp ONVIF và bộ test chạy trên danh sách camera mẫu, để phát hiện sớm khác biệt giữa các hãng (R-01, AR-02).</t>
        </is>
      </c>
      <c r="F6" s="17" t="inlineStr">
        <is>
          <t>Must</t>
        </is>
      </c>
      <c r="G6" s="18" t="n">
        <v>5</v>
      </c>
      <c r="H6" s="18" t="inlineStr">
        <is>
          <t>S1</t>
        </is>
      </c>
      <c r="I6" s="10">
        <f>IFERROR(VLOOKUP(H6,'Kế hoạch sprint'!$A$5:$B$14,2,FALSE),"")</f>
        <v/>
      </c>
      <c r="J6" s="18" t="inlineStr">
        <is>
          <t>To Do</t>
        </is>
      </c>
      <c r="K6" s="10" t="inlineStr">
        <is>
          <t>TS-02</t>
        </is>
      </c>
      <c r="L6" s="10" t="inlineStr">
        <is>
          <t>BR-01, BR-27</t>
        </is>
      </c>
      <c r="M6" s="10" t="inlineStr">
        <is>
          <t>UC-10, UC-40</t>
        </is>
      </c>
      <c r="N6" s="10" t="inlineStr">
        <is>
          <t>—</t>
        </is>
      </c>
      <c r="O6" s="10" t="inlineStr">
        <is>
          <t>3.3 Gateway modules; 3.7.3</t>
        </is>
      </c>
      <c r="P6" s="10" t="inlineStr">
        <is>
          <t>Kịch bản: Báo cáo tương thích
  Giả sử danh sách camera kiểm thử của ít nhất 5 hãng
  Khi chạy bộ kiểm thử tương thích
  Thì có báo cáo theo model: luồng, PTZ, cấu hình, sự kiện, Profile G hỗ trợ hay không</t>
        </is>
      </c>
      <c r="Q6" s="19" t="n"/>
      <c r="R6" s="10" t="inlineStr">
        <is>
          <t>FastAPI + onvif-zeep async; endpoint /discover, /capabilities; mTLS với Core; báo cáo tương thích theo model (D-04).</t>
        </is>
      </c>
    </row>
    <row r="7">
      <c r="A7" s="16" t="inlineStr">
        <is>
          <t>TS-06</t>
        </is>
      </c>
      <c r="B7" s="17" t="inlineStr">
        <is>
          <t>Enabler</t>
        </is>
      </c>
      <c r="C7" s="10" t="inlineStr">
        <is>
          <t>EP-00 Nền tảng kỹ thuật (enabler)</t>
        </is>
      </c>
      <c r="D7" s="10" t="inlineStr">
        <is>
          <t>Tunnel Server và Site Connector</t>
        </is>
      </c>
      <c r="E7" s="10" t="inlineStr">
        <is>
          <t>Là Đội phát triển, tôi muốn có đường hầm ngược qua WSS 443 từ địa điểm về máy chủ, để Device Gateway và MediaMTX truy cập được camera sau NAT (ADR-10).</t>
        </is>
      </c>
      <c r="F7" s="17" t="inlineStr">
        <is>
          <t>Should</t>
        </is>
      </c>
      <c r="G7" s="18" t="n">
        <v>8</v>
      </c>
      <c r="H7" s="18" t="inlineStr">
        <is>
          <t>S6</t>
        </is>
      </c>
      <c r="I7" s="10">
        <f>IFERROR(VLOOKUP(H7,'Kế hoạch sprint'!$A$5:$B$14,2,FALSE),"")</f>
        <v/>
      </c>
      <c r="J7" s="18" t="inlineStr">
        <is>
          <t>To Do</t>
        </is>
      </c>
      <c r="K7" s="10" t="inlineStr">
        <is>
          <t>TS-02, TS-05</t>
        </is>
      </c>
      <c r="L7" s="10" t="inlineStr">
        <is>
          <t>BR-06</t>
        </is>
      </c>
      <c r="M7" s="10" t="inlineStr">
        <is>
          <t>UC-15, UC-10</t>
        </is>
      </c>
      <c r="N7" s="10" t="inlineStr">
        <is>
          <t>—</t>
        </is>
      </c>
      <c r="O7" s="10" t="inlineStr">
        <is>
          <t>ADR-10; 3.9.5</t>
        </is>
      </c>
      <c r="P7" s="10" t="inlineStr">
        <is>
          <t>Kịch bản: Kết nối chỉ qua cổng 443
  Giả sử địa điểm chỉ cho phép kết nối ra ngoài cổng 443
  Khi Site Connector khởi động
  Thì đường hầm được thiết lập và máy chủ đọc được luồng RTSP của camera trong LAN địa điểm</t>
        </is>
      </c>
      <c r="Q7" s="19" t="n"/>
      <c r="R7" s="10" t="inlineStr">
        <is>
          <t>chisel hoặc tương đương; Connector chạy dò tìm WS-Discovery tại chỗ; theo dõi băng thông từng Connector (AR-06).</t>
        </is>
      </c>
    </row>
    <row r="8">
      <c r="A8" s="16" t="inlineStr">
        <is>
          <t>TS-07</t>
        </is>
      </c>
      <c r="B8" s="17" t="inlineStr">
        <is>
          <t>Enabler</t>
        </is>
      </c>
      <c r="C8" s="10" t="inlineStr">
        <is>
          <t>EP-00 Nền tảng kỹ thuật (enabler)</t>
        </is>
      </c>
      <c r="D8" s="10" t="inlineStr">
        <is>
          <t>Giám sát và log tập trung</t>
        </is>
      </c>
      <c r="E8" s="10" t="inlineStr">
        <is>
          <t>Là Đội vận hành IT, tôi muốn có Prometheus, Grafana, Loki với dashboard cơ bản, để phát hiện sự cố và đo NFR từ sớm.</t>
        </is>
      </c>
      <c r="F8" s="17" t="inlineStr">
        <is>
          <t>Must</t>
        </is>
      </c>
      <c r="G8" s="18" t="n">
        <v>3</v>
      </c>
      <c r="H8" s="18" t="inlineStr">
        <is>
          <t>S0</t>
        </is>
      </c>
      <c r="I8" s="10">
        <f>IFERROR(VLOOKUP(H8,'Kế hoạch sprint'!$A$5:$B$14,2,FALSE),"")</f>
        <v/>
      </c>
      <c r="J8" s="18" t="inlineStr">
        <is>
          <t>To Do</t>
        </is>
      </c>
      <c r="K8" s="10" t="inlineStr">
        <is>
          <t>TS-02</t>
        </is>
      </c>
      <c r="L8" s="10" t="inlineStr">
        <is>
          <t>NFR-04</t>
        </is>
      </c>
      <c r="M8" s="10" t="inlineStr">
        <is>
          <t>UC-60</t>
        </is>
      </c>
      <c r="N8" s="10" t="inlineStr">
        <is>
          <t>—</t>
        </is>
      </c>
      <c r="O8" s="10" t="inlineStr">
        <is>
          <t>3.2; 6.1</t>
        </is>
      </c>
      <c r="P8" s="10" t="inlineStr">
        <is>
          <t>Kịch bản: Cảnh báo vận hành
  Giả sử container core dừng quá 1 phút
  Khi Prometheus đánh giá rule
  Thì đội vận hành nhận cảnh báo</t>
        </is>
      </c>
      <c r="Q8" s="19" t="n"/>
      <c r="R8" s="10" t="inlineStr">
        <is>
          <t>Metrics JVM, MediaMTX, RabbitMQ queue depth, PostgreSQL; log JSON có correlation id.</t>
        </is>
      </c>
    </row>
    <row r="9">
      <c r="A9" s="16" t="inlineStr">
        <is>
          <t>TS-08</t>
        </is>
      </c>
      <c r="B9" s="17" t="inlineStr">
        <is>
          <t>Enabler</t>
        </is>
      </c>
      <c r="C9" s="10" t="inlineStr">
        <is>
          <t>EP-00 Nền tảng kỹ thuật (enabler)</t>
        </is>
      </c>
      <c r="D9" s="10" t="inlineStr">
        <is>
          <t>Kiểm thử tải và hỗ trợ kiểm thử xâm nhập trước GA</t>
        </is>
      </c>
      <c r="E9" s="10" t="inlineStr">
        <is>
          <t>Là Đội kiểm thử, tôi muốn chạy kiểm thử tải 500 camera/100 người dùng và kiểm thử xâm nhập theo OWASP ASVS L2, để đủ điều kiện nghiệm thu GA (PNFR-08, NFR-03).</t>
        </is>
      </c>
      <c r="F9" s="17" t="inlineStr">
        <is>
          <t>Must</t>
        </is>
      </c>
      <c r="G9" s="18" t="n">
        <v>8</v>
      </c>
      <c r="H9" s="18" t="inlineStr">
        <is>
          <t>S9</t>
        </is>
      </c>
      <c r="I9" s="10">
        <f>IFERROR(VLOOKUP(H9,'Kế hoạch sprint'!$A$5:$B$14,2,FALSE),"")</f>
        <v/>
      </c>
      <c r="J9" s="18" t="inlineStr">
        <is>
          <t>To Do</t>
        </is>
      </c>
      <c r="K9" s="10" t="inlineStr">
        <is>
          <t>Mọi story M1, M2</t>
        </is>
      </c>
      <c r="L9" s="10" t="inlineStr">
        <is>
          <t>NFR-01 đến NFR-05</t>
        </is>
      </c>
      <c r="M9" s="10" t="inlineStr">
        <is>
          <t>—</t>
        </is>
      </c>
      <c r="N9" s="10" t="inlineStr">
        <is>
          <t>—</t>
        </is>
      </c>
      <c r="O9" s="10" t="inlineStr">
        <is>
          <t>4 Bảo mật; 6.1</t>
        </is>
      </c>
      <c r="P9" s="10" t="inlineStr">
        <is>
          <t>Kịch bản: Đạt NFR dưới tải
  Giả sử 500 camera và 100 người dùng đồng thời
  Khi chạy kịch bản tải 1 giờ
  Thì NFR-01, NFR-02 đạt ở phân vị 95
Kịch bản: Không còn lỗi bảo mật nghiêm trọng
  Giả sử báo cáo kiểm thử xâm nhập
  Khi review trước GA
  Thì không còn lỗi mức nghiêm trọng/cao chưa xử lý</t>
        </is>
      </c>
      <c r="Q9" s="19" t="n"/>
      <c r="R9" s="10" t="inlineStr">
        <is>
          <t>Gatling cho API, giả lập RTSP; diễn tập khôi phục (NFR-10).</t>
        </is>
      </c>
    </row>
    <row r="10">
      <c r="A10" s="16" t="inlineStr">
        <is>
          <t>US-01</t>
        </is>
      </c>
      <c r="B10" s="17" t="inlineStr">
        <is>
          <t>Story</t>
        </is>
      </c>
      <c r="C10" s="10" t="inlineStr">
        <is>
          <t>EP-01 Kết nối và quản lý camera</t>
        </is>
      </c>
      <c r="D10" s="10" t="inlineStr">
        <is>
          <t>Dò tìm camera ONVIF</t>
        </is>
      </c>
      <c r="E10" s="10" t="inlineStr">
        <is>
          <t>Là Technician, tôi muốn hệ thống tự tìm camera trong mạng của địa điểm, để không phải nhập IP từng camera.</t>
        </is>
      </c>
      <c r="F10" s="17" t="inlineStr">
        <is>
          <t>Must</t>
        </is>
      </c>
      <c r="G10" s="18" t="n">
        <v>8</v>
      </c>
      <c r="H10" s="18" t="inlineStr">
        <is>
          <t>S2</t>
        </is>
      </c>
      <c r="I10" s="10">
        <f>IFERROR(VLOOKUP(H10,'Kế hoạch sprint'!$A$5:$B$14,2,FALSE),"")</f>
        <v/>
      </c>
      <c r="J10" s="18" t="inlineStr">
        <is>
          <t>To Do</t>
        </is>
      </c>
      <c r="K10" s="10" t="inlineStr">
        <is>
          <t>TS-05, US-02, US-05</t>
        </is>
      </c>
      <c r="L10" s="10" t="inlineStr">
        <is>
          <t>BR-01</t>
        </is>
      </c>
      <c r="M10" s="10" t="inlineStr">
        <is>
          <t>UC-10</t>
        </is>
      </c>
      <c r="N10" s="10" t="inlineStr">
        <is>
          <t>cameras.html (Dò tìm ONVIF)</t>
        </is>
      </c>
      <c r="O10" s="10" t="inlineStr">
        <is>
          <t>Core device; Device Gateway discovery</t>
        </is>
      </c>
      <c r="P10" s="10" t="inlineStr">
        <is>
          <t>Kịch bản: Tìm thấy camera
  Giả sử địa điểm Kho Bắc Ninh có 3 camera ONVIF chưa thêm
  Khi Technician bấm "Dò tìm"
  Thì trong ≤ 30 giây danh sách hiển thị IP, hãng, model, MAC của 3 camera
Kịch bản: Camera đã thêm
  Giả sử camera 10.20.1.11 đã có trong hệ thống
  Khi kết quả dò tìm hiển thị
  Thì camera đó được đánh dấu "Đã thêm" và không chọn được
Kịch bản: Một camera sai mật khẩu
  Giả sử Technician chọn 3 camera và nhập tài khoản chung
  Khi một camera từ chối đăng nhập
  Thì 2 camera được thêm thành công
  Và camera lỗi hiển thị "Sai mật khẩu" kèm nút nhập lại</t>
        </is>
      </c>
      <c r="Q10" s="19" t="n"/>
      <c r="R10" s="10" t="inlineStr">
        <is>
          <t>WS-Discovery; với địa điểm sau NAT dùng Site Connector (TS-06, S6). Thiết bị đã thêm nhận diện theo MAC.</t>
        </is>
      </c>
    </row>
    <row r="11">
      <c r="A11" s="16" t="inlineStr">
        <is>
          <t>US-02</t>
        </is>
      </c>
      <c r="B11" s="17" t="inlineStr">
        <is>
          <t>Story</t>
        </is>
      </c>
      <c r="C11" s="10" t="inlineStr">
        <is>
          <t>EP-01 Kết nối và quản lý camera</t>
        </is>
      </c>
      <c r="D11" s="10" t="inlineStr">
        <is>
          <t>Thêm camera thủ công</t>
        </is>
      </c>
      <c r="E11" s="10" t="inlineStr">
        <is>
          <t>Là Technician, tôi muốn thêm camera bằng IP/cổng/tài khoản hoặc URL RTSP, để kết nối được camera không bật ONVIF.</t>
        </is>
      </c>
      <c r="F11" s="17" t="inlineStr">
        <is>
          <t>Must</t>
        </is>
      </c>
      <c r="G11" s="18" t="n">
        <v>5</v>
      </c>
      <c r="H11" s="18" t="inlineStr">
        <is>
          <t>S2</t>
        </is>
      </c>
      <c r="I11" s="10">
        <f>IFERROR(VLOOKUP(H11,'Kế hoạch sprint'!$A$5:$B$14,2,FALSE),"")</f>
        <v/>
      </c>
      <c r="J11" s="18" t="inlineStr">
        <is>
          <t>To Do</t>
        </is>
      </c>
      <c r="K11" s="10" t="inlineStr">
        <is>
          <t>TS-04, TS-05, US-05</t>
        </is>
      </c>
      <c r="L11" s="10" t="inlineStr">
        <is>
          <t>BR-02</t>
        </is>
      </c>
      <c r="M11" s="10" t="inlineStr">
        <is>
          <t>UC-11</t>
        </is>
      </c>
      <c r="N11" s="10" t="inlineStr">
        <is>
          <t>cameras.html (Thêm thủ công)</t>
        </is>
      </c>
      <c r="O11" s="10" t="inlineStr">
        <is>
          <t>Core device; Device Gateway capabilities; MediaMTX path</t>
        </is>
      </c>
      <c r="P11" s="10" t="inlineStr">
        <is>
          <t>Kịch bản: Kiểm tra kết nối thành công
  Giả sử Technician nhập IP, cổng, tài khoản đúng
  Khi bấm "Kiểm tra kết nối"
  Thì trong ≤ 10 giây hiển thị khung hình xem trước
  Và nút "Lưu camera" được bật
Kịch bản: Kiểm tra kết nối thất bại
  Giả sử địa chỉ IP không tới được
  Khi bấm "Kiểm tra kết nối"
  Thì hiển thị lỗi "Không tới được địa chỉ"
  Và chỉ lưu được khi tick "Lưu dù chưa kết nối"</t>
        </is>
      </c>
      <c r="Q11" s="19" t="n"/>
      <c r="R11" s="10" t="inlineStr">
        <is>
          <t>Mật khẩu mã hóa khi lưu (INV-17); camera RTSP chỉ xem/ghi (INV-03).</t>
        </is>
      </c>
    </row>
    <row r="12">
      <c r="A12" s="16" t="inlineStr">
        <is>
          <t>US-03</t>
        </is>
      </c>
      <c r="B12" s="17" t="inlineStr">
        <is>
          <t>Story</t>
        </is>
      </c>
      <c r="C12" s="10" t="inlineStr">
        <is>
          <t>EP-01 Kết nối và quản lý camera</t>
        </is>
      </c>
      <c r="D12" s="10" t="inlineStr">
        <is>
          <t>Thêm đầu ghi NVR/DVR</t>
        </is>
      </c>
      <c r="E12" s="10" t="inlineStr">
        <is>
          <t>Là Technician, tôi muốn thêm một đầu ghi và nhận mọi kênh, để không phải thêm từng camera.</t>
        </is>
      </c>
      <c r="F12" s="17" t="inlineStr">
        <is>
          <t>Should</t>
        </is>
      </c>
      <c r="G12" s="18" t="n">
        <v>5</v>
      </c>
      <c r="H12" s="18" t="inlineStr">
        <is>
          <t>S6</t>
        </is>
      </c>
      <c r="I12" s="10">
        <f>IFERROR(VLOOKUP(H12,'Kế hoạch sprint'!$A$5:$B$14,2,FALSE),"")</f>
        <v/>
      </c>
      <c r="J12" s="18" t="inlineStr">
        <is>
          <t>To Do</t>
        </is>
      </c>
      <c r="K12" s="10" t="inlineStr">
        <is>
          <t>US-02</t>
        </is>
      </c>
      <c r="L12" s="10" t="inlineStr">
        <is>
          <t>BR-03</t>
        </is>
      </c>
      <c r="M12" s="10" t="inlineStr">
        <is>
          <t>UC-12</t>
        </is>
      </c>
      <c r="N12" s="10" t="inlineStr">
        <is>
          <t>cameras.html (Thêm đầu ghi)</t>
        </is>
      </c>
      <c r="O12" s="10" t="inlineStr">
        <is>
          <t>Core device (Recorder); Device Gateway</t>
        </is>
      </c>
      <c r="P12" s="10" t="inlineStr">
        <is>
          <t>Kịch bản: Chọn kênh
  Giả sử đầu ghi 16 kênh, 3 kênh có tín hiệu
  Khi Technician thêm đầu ghi và chọn 3 kênh
  Thì 3 camera được tạo với tên kênh lấy từ đầu ghi
Kịch bản: Đầu ghi mất kết nối
  Giả sử đầu ghi đang có 3 kênh
  Khi đầu ghi mất kết nối
  Thì cả 3 camera chuyển trạng thái "Mất kết nối"</t>
        </is>
      </c>
      <c r="Q12" s="19" t="n"/>
      <c r="R12" s="10" t="inlineStr">
        <is>
          <t>Mỗi kênh là một Camera liên kết Recorder; trạng thái kênh theo đầu ghi.</t>
        </is>
      </c>
    </row>
    <row r="13">
      <c r="A13" s="16" t="inlineStr">
        <is>
          <t>US-04</t>
        </is>
      </c>
      <c r="B13" s="17" t="inlineStr">
        <is>
          <t>Story</t>
        </is>
      </c>
      <c r="C13" s="10" t="inlineStr">
        <is>
          <t>EP-01 Kết nối và quản lý camera</t>
        </is>
      </c>
      <c r="D13" s="10" t="inlineStr">
        <is>
          <t>Trạng thái camera</t>
        </is>
      </c>
      <c r="E13" s="10" t="inlineStr">
        <is>
          <t>Là Operator, tôi muốn thấy camera nào đang mất kết nối, để báo kỹ thuật kịp thời.</t>
        </is>
      </c>
      <c r="F13" s="17" t="inlineStr">
        <is>
          <t>Must</t>
        </is>
      </c>
      <c r="G13" s="18" t="n">
        <v>5</v>
      </c>
      <c r="H13" s="18" t="inlineStr">
        <is>
          <t>S2</t>
        </is>
      </c>
      <c r="I13" s="10">
        <f>IFERROR(VLOOKUP(H13,'Kế hoạch sprint'!$A$5:$B$14,2,FALSE),"")</f>
        <v/>
      </c>
      <c r="J13" s="18" t="inlineStr">
        <is>
          <t>To Do</t>
        </is>
      </c>
      <c r="K13" s="10" t="inlineStr">
        <is>
          <t>US-02</t>
        </is>
      </c>
      <c r="L13" s="10" t="inlineStr">
        <is>
          <t>BR-04</t>
        </is>
      </c>
      <c r="M13" s="10" t="inlineStr">
        <is>
          <t>UC-16</t>
        </is>
      </c>
      <c r="N13" s="10" t="inlineStr">
        <is>
          <t>dashboard.html; cameras.html</t>
        </is>
      </c>
      <c r="O13" s="10" t="inlineStr">
        <is>
          <t>Core device; Device Gateway events; WebSocket /topic camera-status</t>
        </is>
      </c>
      <c r="P13" s="10" t="inlineStr">
        <is>
          <t>Kịch bản: Cập nhật trạng thái
  Giả sử camera Kho số 7 đang trực tuyến
  Khi camera mất kết nối lúc 14:32
  Thì trong ≤ 60 giây trạng thái chuyển "Mất kết nối" kèm "từ 14:32"
Kịch bản: Tổng quan theo địa điểm
  Giả sử Kho Bắc Ninh có 7 camera, 2 mất kết nối
  Khi mở trang Tổng quan
  Thì địa điểm hiển thị "5 / 7" trực tuyến</t>
        </is>
      </c>
      <c r="Q13" s="19" t="n"/>
      <c r="R13" s="10" t="inlineStr">
        <is>
          <t>Kiểm tra định kỳ + sự kiện ONVIF; đẩy WebSocket.</t>
        </is>
      </c>
    </row>
    <row r="14">
      <c r="A14" s="16" t="inlineStr">
        <is>
          <t>US-05</t>
        </is>
      </c>
      <c r="B14" s="17" t="inlineStr">
        <is>
          <t>Story</t>
        </is>
      </c>
      <c r="C14" s="10" t="inlineStr">
        <is>
          <t>EP-01 Kết nối và quản lý camera</t>
        </is>
      </c>
      <c r="D14" s="10" t="inlineStr">
        <is>
          <t>Tổ chức, lọc và chuyển camera</t>
        </is>
      </c>
      <c r="E14" s="10" t="inlineStr">
        <is>
          <t>Là Site Manager, tôi muốn sắp camera theo địa điểm, khu vực, nhóm và chuyển camera khi cần, để tìm nhanh trong hàng trăm camera mà không mất video cũ.</t>
        </is>
      </c>
      <c r="F14" s="17" t="inlineStr">
        <is>
          <t>Must</t>
        </is>
      </c>
      <c r="G14" s="18" t="n">
        <v>8</v>
      </c>
      <c r="H14" s="18" t="inlineStr">
        <is>
          <t>S1</t>
        </is>
      </c>
      <c r="I14" s="10">
        <f>IFERROR(VLOOKUP(H14,'Kế hoạch sprint'!$A$5:$B$14,2,FALSE),"")</f>
        <v/>
      </c>
      <c r="J14" s="18" t="inlineStr">
        <is>
          <t>To Do</t>
        </is>
      </c>
      <c r="K14" s="10" t="inlineStr">
        <is>
          <t>TS-04</t>
        </is>
      </c>
      <c r="L14" s="10" t="inlineStr">
        <is>
          <t>BR-05, RULE-07</t>
        </is>
      </c>
      <c r="M14" s="10" t="inlineStr">
        <is>
          <t>UC-14</t>
        </is>
      </c>
      <c r="N14" s="10" t="inlineStr">
        <is>
          <t>cameras.html (cây, Chuyển khu vực)</t>
        </is>
      </c>
      <c r="O14" s="10" t="inlineStr">
        <is>
          <t>Core organization; CameraLocationHistory</t>
        </is>
      </c>
      <c r="P14" s="10" t="inlineStr">
        <is>
          <t>Kịch bản: Lọc nhanh
  Giả sử tổ chức có 500 camera
  Khi lọc theo trạng thái "Mất kết nối" và hãng "Dahua"
  Thì kết quả hiển thị trong ≤ 1 giây
Kịch bản: Một camera một khu vực
  Giả sử camera thuộc khu vực Kho A
  Khi kéo camera sang Kho B
  Thì camera chỉ còn thuộc Kho B và vẫn giữ các nhóm đã gán
Kịch bản: Chuyển camera giữ video cũ
  Giả sử camera có video 30 ngày ở Tầng 1
  Khi chuyển camera sang Tầng 2
  Thì toàn bộ video, cảnh báo, đánh dấu giữ lại vẫn còn
  Và người có quyền trên Tầng 2 xem được video cũ
  Và nhật ký ghi MOVE_CAMERA</t>
        </is>
      </c>
      <c r="Q14" s="19" t="n"/>
      <c r="R14" s="10" t="inlineStr">
        <is>
          <t>INV-02, INV-18, INV-19; chỉ mục (organization_id, zone_id).</t>
        </is>
      </c>
    </row>
    <row r="15">
      <c r="A15" s="16" t="inlineStr">
        <is>
          <t>US-06</t>
        </is>
      </c>
      <c r="B15" s="17" t="inlineStr">
        <is>
          <t>Story</t>
        </is>
      </c>
      <c r="C15" s="10" t="inlineStr">
        <is>
          <t>EP-01 Kết nối và quản lý camera</t>
        </is>
      </c>
      <c r="D15" s="10" t="inlineStr">
        <is>
          <t>Kích hoạt bộ kết nối địa điểm</t>
        </is>
      </c>
      <c r="E15" s="10" t="inlineStr">
        <is>
          <t>Là Admin, tôi muốn kết nối camera ở chi nhánh không có IP tĩnh, để không phải cấu hình router.</t>
        </is>
      </c>
      <c r="F15" s="17" t="inlineStr">
        <is>
          <t>Should</t>
        </is>
      </c>
      <c r="G15" s="18" t="n">
        <v>5</v>
      </c>
      <c r="H15" s="18" t="inlineStr">
        <is>
          <t>S6</t>
        </is>
      </c>
      <c r="I15" s="10">
        <f>IFERROR(VLOOKUP(H15,'Kế hoạch sprint'!$A$5:$B$14,2,FALSE),"")</f>
        <v/>
      </c>
      <c r="J15" s="18" t="inlineStr">
        <is>
          <t>To Do</t>
        </is>
      </c>
      <c r="K15" s="10" t="inlineStr">
        <is>
          <t>TS-06</t>
        </is>
      </c>
      <c r="L15" s="10" t="inlineStr">
        <is>
          <t>BR-06</t>
        </is>
      </c>
      <c r="M15" s="10" t="inlineStr">
        <is>
          <t>UC-15</t>
        </is>
      </c>
      <c r="N15" s="10" t="inlineStr">
        <is>
          <t>system.html (Bộ kết nối)</t>
        </is>
      </c>
      <c r="O15" s="10" t="inlineStr">
        <is>
          <t>Tunnel Server; Site Connector; Core device (Connector)</t>
        </is>
      </c>
      <c r="P15" s="10" t="inlineStr">
        <is>
          <t>Kịch bản: Kích hoạt thành công
  Giả sử Admin tạo bộ kết nối cho Chi nhánh Đà Nẵng
  Khi Connector chạy với mã kích hoạt trong 24 giờ
  Thì trạng thái chuyển "Trực tuyến" và hiển thị thời điểm liên lạc gần nhất
Kịch bản: Mã hết hạn
  Giả sử mã kích hoạt tạo đã 25 giờ
  Khi Connector dùng mã đó
  Thì kích hoạt bị từ chối và Admin phải tạo mã mới</t>
        </is>
      </c>
      <c r="Q15" s="19" t="n"/>
      <c r="R15" s="10" t="inlineStr">
        <is>
          <t>Mã kích hoạt dùng 1 lần, hết hạn 24 giờ; trạng thái PENDING_ACTIVATION → ONLINE.</t>
        </is>
      </c>
    </row>
    <row r="16">
      <c r="A16" s="16" t="inlineStr">
        <is>
          <t>US-07</t>
        </is>
      </c>
      <c r="B16" s="17" t="inlineStr">
        <is>
          <t>Story</t>
        </is>
      </c>
      <c r="C16" s="10" t="inlineStr">
        <is>
          <t>EP-01 Kết nối và quản lý camera</t>
        </is>
      </c>
      <c r="D16" s="10" t="inlineStr">
        <is>
          <t>Nhập camera từ file</t>
        </is>
      </c>
      <c r="E16" s="10" t="inlineStr">
        <is>
          <t>Là Technician, tôi muốn nhập danh sách camera từ file, để triển khai địa điểm lớn nhanh hơn.</t>
        </is>
      </c>
      <c r="F16" s="17" t="inlineStr">
        <is>
          <t>Could</t>
        </is>
      </c>
      <c r="G16" s="18" t="n">
        <v>3</v>
      </c>
      <c r="H16" s="18" t="inlineStr">
        <is>
          <t>S9</t>
        </is>
      </c>
      <c r="I16" s="10">
        <f>IFERROR(VLOOKUP(H16,'Kế hoạch sprint'!$A$5:$B$14,2,FALSE),"")</f>
        <v/>
      </c>
      <c r="J16" s="18" t="inlineStr">
        <is>
          <t>To Do</t>
        </is>
      </c>
      <c r="K16" s="10" t="inlineStr">
        <is>
          <t>US-02</t>
        </is>
      </c>
      <c r="L16" s="10" t="inlineStr">
        <is>
          <t>BR-07</t>
        </is>
      </c>
      <c r="M16" s="10" t="inlineStr">
        <is>
          <t>UC-13</t>
        </is>
      </c>
      <c r="N16" s="10" t="inlineStr">
        <is>
          <t>cameras.html (Nhập từ file)</t>
        </is>
      </c>
      <c r="O16" s="10" t="inlineStr">
        <is>
          <t>Core device</t>
        </is>
      </c>
      <c r="P16" s="10" t="inlineStr">
        <is>
          <t>Kịch bản: Bỏ qua dòng lỗi
  Giả sử file có 5 dòng, 2 dòng sai IP hoặc trùng IP
  Khi Technician xác nhận nhập
  Thì 3 camera hợp lệ được thêm
  Và có báo cáo 2 dòng lỗi kèm lý do</t>
        </is>
      </c>
      <c r="Q16" s="19" t="n"/>
      <c r="R16" s="10" t="inlineStr">
        <is>
          <t>Mẫu .xlsx/.csv; xem trước có đánh dấu lỗi; báo cáo kết quả.</t>
        </is>
      </c>
    </row>
    <row r="17">
      <c r="A17" s="16" t="inlineStr">
        <is>
          <t>US-08</t>
        </is>
      </c>
      <c r="B17" s="17" t="inlineStr">
        <is>
          <t>Story</t>
        </is>
      </c>
      <c r="C17" s="10" t="inlineStr">
        <is>
          <t>EP-02 Xem trực tiếp</t>
        </is>
      </c>
      <c r="D17" s="10" t="inlineStr">
        <is>
          <t>Xem trực tiếp trên trình duyệt</t>
        </is>
      </c>
      <c r="E17" s="10" t="inlineStr">
        <is>
          <t>Là Operator, tôi muốn xem camera trên trình duyệt mà không cài gì, để làm việc từ bất kỳ máy nào.</t>
        </is>
      </c>
      <c r="F17" s="17" t="inlineStr">
        <is>
          <t>Must</t>
        </is>
      </c>
      <c r="G17" s="18" t="n">
        <v>8</v>
      </c>
      <c r="H17" s="18" t="inlineStr">
        <is>
          <t>S3</t>
        </is>
      </c>
      <c r="I17" s="10">
        <f>IFERROR(VLOOKUP(H17,'Kế hoạch sprint'!$A$5:$B$14,2,FALSE),"")</f>
        <v/>
      </c>
      <c r="J17" s="18" t="inlineStr">
        <is>
          <t>To Do</t>
        </is>
      </c>
      <c r="K17" s="10" t="inlineStr">
        <is>
          <t>TS-03, US-02, US-32</t>
        </is>
      </c>
      <c r="L17" s="10" t="inlineStr">
        <is>
          <t>BR-08</t>
        </is>
      </c>
      <c r="M17" s="10" t="inlineStr">
        <is>
          <t>UC-20</t>
        </is>
      </c>
      <c r="N17" s="10" t="inlineStr">
        <is>
          <t>live.html</t>
        </is>
      </c>
      <c r="O17" s="10" t="inlineStr">
        <is>
          <t>Core liveview; MediaMTX WHEP/HLS; /internal/media/authorize</t>
        </is>
      </c>
      <c r="P17" s="10" t="inlineStr">
        <is>
          <t>Kịch bản: Phát nhanh
  Giả sử Operator có VIEW_LIVE trên camera Cổng chính
  Khi mở camera trên Chrome, Edge, Firefox hoặc Safari
  Thì hình hiển thị trong ≤ 3 giây không cần plugin
  Và độ trễ ≤ 2 giây trong LAN
Kịch bản: Không có quyền
  Giả sử Viewer không có quyền trên camera Kho A – Lối 1
  Khi gọi API tạo phiên xem cho camera đó
  Thì API trả 403 và MediaMTX không cấp luồng
Kịch bản: Mạng chặn WebRTC
  Giả sử mạng của người dùng chặn UDP
  Khi mở xem trực tiếp
  Thì trình duyệt tự chuyển sang HLS</t>
        </is>
      </c>
      <c r="Q17" s="19" t="n"/>
      <c r="R17" s="10" t="inlineStr">
        <is>
          <t>Token ký 60 giây; HLS dự phòng; chuyển mã H.265 theo yêu cầu (PNFR-03).</t>
        </is>
      </c>
    </row>
    <row r="18">
      <c r="A18" s="16" t="inlineStr">
        <is>
          <t>US-09</t>
        </is>
      </c>
      <c r="B18" s="17" t="inlineStr">
        <is>
          <t>Story</t>
        </is>
      </c>
      <c r="C18" s="10" t="inlineStr">
        <is>
          <t>EP-02 Xem trực tiếp</t>
        </is>
      </c>
      <c r="D18" s="10" t="inlineStr">
        <is>
          <t>Lưới nhiều camera</t>
        </is>
      </c>
      <c r="E18" s="10" t="inlineStr">
        <is>
          <t>Là Operator, tôi muốn xem nhiều camera cùng lúc, để giám sát toàn khu vực.</t>
        </is>
      </c>
      <c r="F18" s="17" t="inlineStr">
        <is>
          <t>Must</t>
        </is>
      </c>
      <c r="G18" s="18" t="n">
        <v>5</v>
      </c>
      <c r="H18" s="18" t="inlineStr">
        <is>
          <t>S3</t>
        </is>
      </c>
      <c r="I18" s="10">
        <f>IFERROR(VLOOKUP(H18,'Kế hoạch sprint'!$A$5:$B$14,2,FALSE),"")</f>
        <v/>
      </c>
      <c r="J18" s="18" t="inlineStr">
        <is>
          <t>To Do</t>
        </is>
      </c>
      <c r="K18" s="10" t="inlineStr">
        <is>
          <t>US-08</t>
        </is>
      </c>
      <c r="L18" s="10" t="inlineStr">
        <is>
          <t>BR-09</t>
        </is>
      </c>
      <c r="M18" s="10" t="inlineStr">
        <is>
          <t>UC-20</t>
        </is>
      </c>
      <c r="N18" s="10" t="inlineStr">
        <is>
          <t>live.html</t>
        </is>
      </c>
      <c r="O18" s="10" t="inlineStr">
        <is>
          <t>Web player</t>
        </is>
      </c>
      <c r="P18" s="10" t="inlineStr">
        <is>
          <t>Kịch bản: Đổi lưới
  Giả sử Operator đang xem lưới 4
  Khi chọn lưới 9 và kéo 9 camera vào
  Thì 9 ô phát luồng phụ
Kịch bản: Phóng to một ô
  Giả sử lưới 9 đang phát
  Khi nhấp đúp ô Bãi xe
  Thì ô đó phóng to và chuyển sang luồng chính
Kịch bản: Camera mất kết nối trong lưới
  Giả sử một camera trong lưới mất kết nối
  Khi lưới hiển thị
  Thì ô hiển thị "Mất kết nối" kèm thời điểm thay vì màn hình đen</t>
        </is>
      </c>
      <c r="Q18" s="19" t="n"/>
      <c r="R18" s="10" t="inlineStr">
        <is>
          <t>Lưới 9/16 dùng luồng phụ; nhấp đúp chuyển luồng chính.</t>
        </is>
      </c>
    </row>
    <row r="19">
      <c r="A19" s="16" t="inlineStr">
        <is>
          <t>US-10</t>
        </is>
      </c>
      <c r="B19" s="17" t="inlineStr">
        <is>
          <t>Story</t>
        </is>
      </c>
      <c r="C19" s="10" t="inlineStr">
        <is>
          <t>EP-02 Xem trực tiếp</t>
        </is>
      </c>
      <c r="D19" s="10" t="inlineStr">
        <is>
          <t>Lưu bố cục xem</t>
        </is>
      </c>
      <c r="E19" s="10" t="inlineStr">
        <is>
          <t>Là Operator, tôi muốn lưu bố cục và danh sách camera đang xem, để mở lại ngay ở ca sau.</t>
        </is>
      </c>
      <c r="F19" s="17" t="inlineStr">
        <is>
          <t>Must</t>
        </is>
      </c>
      <c r="G19" s="18" t="n">
        <v>3</v>
      </c>
      <c r="H19" s="18" t="inlineStr">
        <is>
          <t>S3</t>
        </is>
      </c>
      <c r="I19" s="10">
        <f>IFERROR(VLOOKUP(H19,'Kế hoạch sprint'!$A$5:$B$14,2,FALSE),"")</f>
        <v/>
      </c>
      <c r="J19" s="18" t="inlineStr">
        <is>
          <t>To Do</t>
        </is>
      </c>
      <c r="K19" s="10" t="inlineStr">
        <is>
          <t>US-09</t>
        </is>
      </c>
      <c r="L19" s="10" t="inlineStr">
        <is>
          <t>BR-34</t>
        </is>
      </c>
      <c r="M19" s="10" t="inlineStr">
        <is>
          <t>UC-21</t>
        </is>
      </c>
      <c r="N19" s="10" t="inlineStr">
        <is>
          <t>live.html (Lưu bố cục)</t>
        </is>
      </c>
      <c r="O19" s="10" t="inlineStr">
        <is>
          <t>Core liveview (ViewLayout)</t>
        </is>
      </c>
      <c r="P19" s="10" t="inlineStr">
        <is>
          <t>Kịch bản: Mở lại bố cục
  Giả sử Operator đã lưu bố cục "Ca đêm – Kho Bắc Ninh"
  Khi đăng nhập lại
  Thì bố cục dùng gần nhất tự mở
Kịch bản: Quyền bị thu hồi
  Giả sử bố cục có camera Kho số 7
  Khi Operator bị thu hồi quyền trên camera đó
  Thì camera tự biến khỏi bố cục đã lưu</t>
        </is>
      </c>
      <c r="Q19" s="19" t="n"/>
      <c r="R19" s="10" t="inlineStr">
        <is>
          <t>Tối đa 10 bố cục/người; INV-13.</t>
        </is>
      </c>
    </row>
    <row r="20">
      <c r="A20" s="16" t="inlineStr">
        <is>
          <t>US-11</t>
        </is>
      </c>
      <c r="B20" s="17" t="inlineStr">
        <is>
          <t>Story</t>
        </is>
      </c>
      <c r="C20" s="10" t="inlineStr">
        <is>
          <t>EP-02 Xem trực tiếp</t>
        </is>
      </c>
      <c r="D20" s="10" t="inlineStr">
        <is>
          <t>Tự chuyển luồng theo băng thông</t>
        </is>
      </c>
      <c r="E20" s="10" t="inlineStr">
        <is>
          <t>Là Operator, tôi muốn hình ảnh không bị đứng khi mạng yếu, để vẫn theo dõi được.</t>
        </is>
      </c>
      <c r="F20" s="17" t="inlineStr">
        <is>
          <t>Should</t>
        </is>
      </c>
      <c r="G20" s="18" t="n">
        <v>5</v>
      </c>
      <c r="H20" s="18" t="inlineStr">
        <is>
          <t>S6</t>
        </is>
      </c>
      <c r="I20" s="10">
        <f>IFERROR(VLOOKUP(H20,'Kế hoạch sprint'!$A$5:$B$14,2,FALSE),"")</f>
        <v/>
      </c>
      <c r="J20" s="18" t="inlineStr">
        <is>
          <t>To Do</t>
        </is>
      </c>
      <c r="K20" s="10" t="inlineStr">
        <is>
          <t>US-09</t>
        </is>
      </c>
      <c r="L20" s="10" t="inlineStr">
        <is>
          <t>BR-10</t>
        </is>
      </c>
      <c r="M20" s="10" t="inlineStr">
        <is>
          <t>UC-20</t>
        </is>
      </c>
      <c r="N20" s="10" t="inlineStr">
        <is>
          <t>live.html (Mô phỏng mạng yếu)</t>
        </is>
      </c>
      <c r="O20" s="10" t="inlineStr">
        <is>
          <t>SADD 3.11.5 (getStats)</t>
        </is>
      </c>
      <c r="P20" s="10" t="inlineStr">
        <is>
          <t>Kịch bản: Tự hạ chất lượng
  Giả sử ô đang phát luồng chính 4 Mbps ở chế độ Tự động
  Khi băng thông đo được dưới 4 Mbps trong 5 giây liên tục
  Thì ô chuyển sang luồng phụ và hiển thị "Chất lượng thấp"
Kịch bản: Chế độ thủ công
  Giả sử người dùng chọn "Cao" cho một ô
  Khi băng thông giảm
  Thì ô đó không tự chuyển luồng</t>
        </is>
      </c>
      <c r="Q20" s="19" t="n"/>
      <c r="R20" s="10" t="inlineStr">
        <is>
          <t>Quay lại luồng chính khi băng thông ≥ 1,5 lần bitrate trong 30 giây.</t>
        </is>
      </c>
    </row>
    <row r="21">
      <c r="A21" s="16" t="inlineStr">
        <is>
          <t>US-12</t>
        </is>
      </c>
      <c r="B21" s="17" t="inlineStr">
        <is>
          <t>Story</t>
        </is>
      </c>
      <c r="C21" s="10" t="inlineStr">
        <is>
          <t>EP-02 Xem trực tiếp</t>
        </is>
      </c>
      <c r="D21" s="10" t="inlineStr">
        <is>
          <t>Điều khiển PTZ</t>
        </is>
      </c>
      <c r="E21" s="10" t="inlineStr">
        <is>
          <t>Là Operator, tôi muốn xoay, nghiêng, zoom camera, để theo dõi đối tượng di chuyển.</t>
        </is>
      </c>
      <c r="F21" s="17" t="inlineStr">
        <is>
          <t>Must</t>
        </is>
      </c>
      <c r="G21" s="18" t="n">
        <v>5</v>
      </c>
      <c r="H21" s="18" t="inlineStr">
        <is>
          <t>S3</t>
        </is>
      </c>
      <c r="I21" s="10">
        <f>IFERROR(VLOOKUP(H21,'Kế hoạch sprint'!$A$5:$B$14,2,FALSE),"")</f>
        <v/>
      </c>
      <c r="J21" s="18" t="inlineStr">
        <is>
          <t>To Do</t>
        </is>
      </c>
      <c r="K21" s="10" t="inlineStr">
        <is>
          <t>US-08</t>
        </is>
      </c>
      <c r="L21" s="10" t="inlineStr">
        <is>
          <t>BR-11</t>
        </is>
      </c>
      <c r="M21" s="10" t="inlineStr">
        <is>
          <t>UC-22</t>
        </is>
      </c>
      <c r="N21" s="10" t="inlineStr">
        <is>
          <t>live.html (PTZ)</t>
        </is>
      </c>
      <c r="O21" s="10" t="inlineStr">
        <is>
          <t>Device Gateway control; Redis khóa PTZ (3.11.4)</t>
        </is>
      </c>
      <c r="P21" s="10" t="inlineStr">
        <is>
          <t>Kịch bản: Chỉ hiện với camera PTZ
  Giả sử camera Cổng chính không hỗ trợ PTZ
  Khi Operator chọn camera đó
  Thì không hiển thị bảng điều khiển PTZ
Kịch bản: Tranh chấp điều khiển
  Giả sử Hương (Site Manager) đang điều khiển camera Bãi xe
  Khi Lan (Operator, thứ hạng thấp hơn) gửi lệnh PTZ
  Thì lệnh của Lan bị từ chối
  Và Lan thấy "Đang được điều khiển bởi Hương"</t>
        </is>
      </c>
      <c r="Q21" s="19" t="n"/>
      <c r="R21" s="10" t="inlineStr">
        <is>
          <t>INV-05; khóa 30 giây, ưu tiên theo Role.rank.</t>
        </is>
      </c>
    </row>
    <row r="22">
      <c r="A22" s="16" t="inlineStr">
        <is>
          <t>US-13</t>
        </is>
      </c>
      <c r="B22" s="17" t="inlineStr">
        <is>
          <t>Story</t>
        </is>
      </c>
      <c r="C22" s="10" t="inlineStr">
        <is>
          <t>EP-02 Xem trực tiếp</t>
        </is>
      </c>
      <c r="D22" s="10" t="inlineStr">
        <is>
          <t>Preset PTZ</t>
        </is>
      </c>
      <c r="E22" s="10" t="inlineStr">
        <is>
          <t>Là Operator, tôi muốn gọi nhanh vị trí đặt sẵn, để chuyển đến điểm cần xem trong 1 thao tác.</t>
        </is>
      </c>
      <c r="F22" s="17" t="inlineStr">
        <is>
          <t>Must</t>
        </is>
      </c>
      <c r="G22" s="18" t="n">
        <v>3</v>
      </c>
      <c r="H22" s="18" t="inlineStr">
        <is>
          <t>S3</t>
        </is>
      </c>
      <c r="I22" s="10">
        <f>IFERROR(VLOOKUP(H22,'Kế hoạch sprint'!$A$5:$B$14,2,FALSE),"")</f>
        <v/>
      </c>
      <c r="J22" s="18" t="inlineStr">
        <is>
          <t>To Do</t>
        </is>
      </c>
      <c r="K22" s="10" t="inlineStr">
        <is>
          <t>US-12</t>
        </is>
      </c>
      <c r="L22" s="10" t="inlineStr">
        <is>
          <t>BR-35</t>
        </is>
      </c>
      <c r="M22" s="10" t="inlineStr">
        <is>
          <t>UC-23</t>
        </is>
      </c>
      <c r="N22" s="10" t="inlineStr">
        <is>
          <t>live.html (Preset)</t>
        </is>
      </c>
      <c r="O22" s="10" t="inlineStr">
        <is>
          <t>Core device (PtzPreset); Device Gateway</t>
        </is>
      </c>
      <c r="P22" s="10" t="inlineStr">
        <is>
          <t>Kịch bản: Lưu và gọi preset
  Giả sử camera đang ở vị trí bãi xe
  Khi Operator lưu preset "Bãi xe" rồi gọi lại sau khi xoay camera
  Thì camera trở về đúng vị trí đã lưu</t>
        </is>
      </c>
      <c r="Q22" s="19" t="n"/>
      <c r="R22" s="10" t="inlineStr">
        <is>
          <t>Hiển thị cả preset có sẵn trên camera (source DEVICE).</t>
        </is>
      </c>
    </row>
    <row r="23">
      <c r="A23" s="16" t="inlineStr">
        <is>
          <t>US-14</t>
        </is>
      </c>
      <c r="B23" s="17" t="inlineStr">
        <is>
          <t>Story</t>
        </is>
      </c>
      <c r="C23" s="10" t="inlineStr">
        <is>
          <t>EP-02 Xem trực tiếp</t>
        </is>
      </c>
      <c r="D23" s="10" t="inlineStr">
        <is>
          <t>Chụp ảnh, phóng to số, toàn màn hình</t>
        </is>
      </c>
      <c r="E23" s="10" t="inlineStr">
        <is>
          <t>Là Operator, tôi muốn chụp nhanh khung hình, để lưu bằng chứng tức thời.</t>
        </is>
      </c>
      <c r="F23" s="17" t="inlineStr">
        <is>
          <t>Should</t>
        </is>
      </c>
      <c r="G23" s="18" t="n">
        <v>2</v>
      </c>
      <c r="H23" s="18" t="inlineStr">
        <is>
          <t>S6</t>
        </is>
      </c>
      <c r="I23" s="10">
        <f>IFERROR(VLOOKUP(H23,'Kế hoạch sprint'!$A$5:$B$14,2,FALSE),"")</f>
        <v/>
      </c>
      <c r="J23" s="18" t="inlineStr">
        <is>
          <t>To Do</t>
        </is>
      </c>
      <c r="K23" s="10" t="inlineStr">
        <is>
          <t>US-08</t>
        </is>
      </c>
      <c r="L23" s="10" t="inlineStr">
        <is>
          <t>BR-12</t>
        </is>
      </c>
      <c r="M23" s="10" t="inlineStr">
        <is>
          <t>UC-24</t>
        </is>
      </c>
      <c r="N23" s="10" t="inlineStr">
        <is>
          <t>live.html</t>
        </is>
      </c>
      <c r="O23" s="10" t="inlineStr">
        <is>
          <t>Web player</t>
        </is>
      </c>
      <c r="P23" s="10" t="inlineStr">
        <is>
          <t>Kịch bản: Chụp ảnh
  Giả sử Operator đang xem camera Bãi xe
  Khi bấm "Chụp ảnh"
  Thì tải về file PNG tên chứa tên camera và thời điểm</t>
        </is>
      </c>
      <c r="Q23" s="19" t="n"/>
      <c r="R23" s="10" t="inlineStr">
        <is>
          <t>Ảnh PNG có tên camera và thời điểm; zoom số tối đa 8x.</t>
        </is>
      </c>
    </row>
    <row r="24">
      <c r="A24" s="16" t="inlineStr">
        <is>
          <t>US-15</t>
        </is>
      </c>
      <c r="B24" s="17" t="inlineStr">
        <is>
          <t>Story</t>
        </is>
      </c>
      <c r="C24" s="10" t="inlineStr">
        <is>
          <t>EP-02 Xem trực tiếp</t>
        </is>
      </c>
      <c r="D24" s="10" t="inlineStr">
        <is>
          <t>Âm thanh hai chiều</t>
        </is>
      </c>
      <c r="E24" s="10" t="inlineStr">
        <is>
          <t>Là Operator, tôi muốn nghe và nói qua camera, để cảnh báo người tại hiện trường.</t>
        </is>
      </c>
      <c r="F24" s="17" t="inlineStr">
        <is>
          <t>Could</t>
        </is>
      </c>
      <c r="G24" s="18" t="n">
        <v>5</v>
      </c>
      <c r="H24" s="18" t="inlineStr">
        <is>
          <t>S9</t>
        </is>
      </c>
      <c r="I24" s="10">
        <f>IFERROR(VLOOKUP(H24,'Kế hoạch sprint'!$A$5:$B$14,2,FALSE),"")</f>
        <v/>
      </c>
      <c r="J24" s="18" t="inlineStr">
        <is>
          <t>To Do</t>
        </is>
      </c>
      <c r="K24" s="10" t="inlineStr">
        <is>
          <t>US-08</t>
        </is>
      </c>
      <c r="L24" s="10" t="inlineStr">
        <is>
          <t>BR-13</t>
        </is>
      </c>
      <c r="M24" s="10" t="inlineStr">
        <is>
          <t>UC-25</t>
        </is>
      </c>
      <c r="N24" s="10" t="inlineStr">
        <is>
          <t>live.html (Đàm thoại)</t>
        </is>
      </c>
      <c r="O24" s="10" t="inlineStr">
        <is>
          <t>MediaMTX (âm thanh); Web WebRTC</t>
        </is>
      </c>
      <c r="P24" s="10" t="inlineStr">
        <is>
          <t>Kịch bản: Nhấn giữ để nói
  Giả sử camera có loa và micro, Operator có TALK_AUDIO
  Khi giữ nút "Nhấn giữ để nói"
  Thì âm thanh phát ra loa camera
  Và nhật ký ghi TALK_AUDIO kèm thời lượng</t>
        </is>
      </c>
      <c r="Q24" s="19" t="n"/>
      <c r="R24" s="10" t="inlineStr">
        <is>
          <t>Nhấn giữ để nói; ghi nhật ký TALK_AUDIO.</t>
        </is>
      </c>
    </row>
    <row r="25">
      <c r="A25" s="16" t="inlineStr">
        <is>
          <t>US-16</t>
        </is>
      </c>
      <c r="B25" s="17" t="inlineStr">
        <is>
          <t>Story</t>
        </is>
      </c>
      <c r="C25" s="10" t="inlineStr">
        <is>
          <t>EP-03 Ghi hình và xem lại</t>
        </is>
      </c>
      <c r="D25" s="10" t="inlineStr">
        <is>
          <t>Chế độ ghi hình</t>
        </is>
      </c>
      <c r="E25" s="10" t="inlineStr">
        <is>
          <t>Là Admin, tôi muốn đặt chế độ ghi cho từng camera, để cân bằng lưu trữ và nhu cầu bằng chứng.</t>
        </is>
      </c>
      <c r="F25" s="17" t="inlineStr">
        <is>
          <t>Must</t>
        </is>
      </c>
      <c r="G25" s="18" t="n">
        <v>5</v>
      </c>
      <c r="H25" s="18" t="inlineStr">
        <is>
          <t>S4</t>
        </is>
      </c>
      <c r="I25" s="10">
        <f>IFERROR(VLOOKUP(H25,'Kế hoạch sprint'!$A$5:$B$14,2,FALSE),"")</f>
        <v/>
      </c>
      <c r="J25" s="18" t="inlineStr">
        <is>
          <t>To Do</t>
        </is>
      </c>
      <c r="K25" s="10" t="inlineStr">
        <is>
          <t>TS-03, US-02</t>
        </is>
      </c>
      <c r="L25" s="10" t="inlineStr">
        <is>
          <t>BR-14</t>
        </is>
      </c>
      <c r="M25" s="10" t="inlineStr">
        <is>
          <t>UC-30</t>
        </is>
      </c>
      <c r="N25" s="10" t="inlineStr">
        <is>
          <t>camera-detail.html (Ghi hình)</t>
        </is>
      </c>
      <c r="O25" s="10" t="inlineStr">
        <is>
          <t>Core recording; MediaMTX record API</t>
        </is>
      </c>
      <c r="P25" s="10" t="inlineStr">
        <is>
          <t>Kịch bản: Ghi theo sự kiện
  Giả sử camera đặt chế độ "Theo sự kiện", trước 10 giây, sau 30 giây
  Khi camera phát hiện chuyển động lúc 23:40:05
  Thì có đoạn ghi từ 23:39:55 đến ít nhất 23:40:35
Kịch bản: Áp cho nhiều camera
  Giả sử Admin chọn 10 camera
  Khi áp chế độ "Liên tục"
  Thì cả 10 camera hiển thị "REC" trên ô xem trực tiếp</t>
        </is>
      </c>
      <c r="Q25" s="19" t="n"/>
      <c r="R25" s="10" t="inlineStr">
        <is>
          <t>Liên tục / lịch tuần / sự kiện (trước 10 giây, sau 30 giây).</t>
        </is>
      </c>
    </row>
    <row r="26">
      <c r="A26" s="16" t="inlineStr">
        <is>
          <t>US-17</t>
        </is>
      </c>
      <c r="B26" s="17" t="inlineStr">
        <is>
          <t>Story</t>
        </is>
      </c>
      <c r="C26" s="10" t="inlineStr">
        <is>
          <t>EP-03 Ghi hình và xem lại</t>
        </is>
      </c>
      <c r="D26" s="10" t="inlineStr">
        <is>
          <t>Xem lại theo dòng thời gian</t>
        </is>
      </c>
      <c r="E26" s="10" t="inlineStr">
        <is>
          <t>Là Operator, tôi muốn chọn ngày giờ trên timeline, để tìm đúng đoạn cần xem.</t>
        </is>
      </c>
      <c r="F26" s="17" t="inlineStr">
        <is>
          <t>Must</t>
        </is>
      </c>
      <c r="G26" s="18" t="n">
        <v>8</v>
      </c>
      <c r="H26" s="18" t="inlineStr">
        <is>
          <t>S4</t>
        </is>
      </c>
      <c r="I26" s="10">
        <f>IFERROR(VLOOKUP(H26,'Kế hoạch sprint'!$A$5:$B$14,2,FALSE),"")</f>
        <v/>
      </c>
      <c r="J26" s="18" t="inlineStr">
        <is>
          <t>To Do</t>
        </is>
      </c>
      <c r="K26" s="10" t="inlineStr">
        <is>
          <t>US-16</t>
        </is>
      </c>
      <c r="L26" s="10" t="inlineStr">
        <is>
          <t>BR-15</t>
        </is>
      </c>
      <c r="M26" s="10" t="inlineStr">
        <is>
          <t>UC-31</t>
        </is>
      </c>
      <c r="N26" s="10" t="inlineStr">
        <is>
          <t>playback.html</t>
        </is>
      </c>
      <c r="O26" s="10" t="inlineStr">
        <is>
          <t>Core recording (recording_segment); MediaMTX playback</t>
        </is>
      </c>
      <c r="P26" s="10" t="inlineStr">
        <is>
          <t>Kịch bản: Phát lại nhanh
  Giả sử camera có video ngày 21/10
  Khi Operator chọn 13:58 trên timeline
  Thì video bắt đầu phát trong ≤ 3 giây
Kịch bản: Không có dữ liệu
  Giả sử khoảng 05:12–05:18 không có ghi hình
  Khi chọn 05:15
  Thì nhảy tới đoạn có dữ liệu gần nhất và thông báo
Kịch bản: Hiển thị timeline
  Giả sử ngày có đoạn ghi, sự kiện và khoảng trống
  Khi mở timeline 24 giờ
  Thì ba loại hiển thị bằng màu khác nhau
  Và lịch đánh dấu ngày có dữ liệu</t>
        </is>
      </c>
      <c r="Q26" s="19" t="n"/>
      <c r="R26" s="10" t="inlineStr">
        <is>
          <t>Chỉ mục (camera_id, start_at); ghi nhật ký VIEW_PLAYBACK.</t>
        </is>
      </c>
    </row>
    <row r="27">
      <c r="A27" s="16" t="inlineStr">
        <is>
          <t>US-18</t>
        </is>
      </c>
      <c r="B27" s="17" t="inlineStr">
        <is>
          <t>Story</t>
        </is>
      </c>
      <c r="C27" s="10" t="inlineStr">
        <is>
          <t>EP-03 Ghi hình và xem lại</t>
        </is>
      </c>
      <c r="D27" s="10" t="inlineStr">
        <is>
          <t>Điều khiển phát lại</t>
        </is>
      </c>
      <c r="E27" s="10" t="inlineStr">
        <is>
          <t>Là Operator, tôi muốn tua nhanh và xem từng khung hình, để rà video dài nhanh hơn.</t>
        </is>
      </c>
      <c r="F27" s="17" t="inlineStr">
        <is>
          <t>Must</t>
        </is>
      </c>
      <c r="G27" s="18" t="n">
        <v>3</v>
      </c>
      <c r="H27" s="18" t="inlineStr">
        <is>
          <t>S4</t>
        </is>
      </c>
      <c r="I27" s="10">
        <f>IFERROR(VLOOKUP(H27,'Kế hoạch sprint'!$A$5:$B$14,2,FALSE),"")</f>
        <v/>
      </c>
      <c r="J27" s="18" t="inlineStr">
        <is>
          <t>To Do</t>
        </is>
      </c>
      <c r="K27" s="10" t="inlineStr">
        <is>
          <t>US-17</t>
        </is>
      </c>
      <c r="L27" s="10" t="inlineStr">
        <is>
          <t>BR-16</t>
        </is>
      </c>
      <c r="M27" s="10" t="inlineStr">
        <is>
          <t>UC-31</t>
        </is>
      </c>
      <c r="N27" s="10" t="inlineStr">
        <is>
          <t>playback.html</t>
        </is>
      </c>
      <c r="O27" s="10" t="inlineStr">
        <is>
          <t>Web player</t>
        </is>
      </c>
      <c r="P27" s="10" t="inlineStr">
        <is>
          <t>Kịch bản: Tua và phím tắt
  Giả sử video đang phát
  Khi chọn 16x rồi nhấn Space và →
  Thì video phát 16x, sau đó dừng và tiến 10 giây</t>
        </is>
      </c>
      <c r="Q27" s="19" t="n"/>
      <c r="R27" s="10" t="inlineStr">
        <is>
          <t>0,5x–16x; phím tắt Space, ←/→.</t>
        </is>
      </c>
    </row>
    <row r="28">
      <c r="A28" s="16" t="inlineStr">
        <is>
          <t>US-19</t>
        </is>
      </c>
      <c r="B28" s="17" t="inlineStr">
        <is>
          <t>Story</t>
        </is>
      </c>
      <c r="C28" s="10" t="inlineStr">
        <is>
          <t>EP-03 Ghi hình và xem lại</t>
        </is>
      </c>
      <c r="D28" s="10" t="inlineStr">
        <is>
          <t>Xem lại đồng bộ nhiều camera</t>
        </is>
      </c>
      <c r="E28" s="10" t="inlineStr">
        <is>
          <t>Là Operator, tôi muốn phát lại nhiều camera cùng mốc thời gian, để theo dấu một người qua nhiều góc quay.</t>
        </is>
      </c>
      <c r="F28" s="17" t="inlineStr">
        <is>
          <t>Should</t>
        </is>
      </c>
      <c r="G28" s="18" t="n">
        <v>5</v>
      </c>
      <c r="H28" s="18" t="inlineStr">
        <is>
          <t>S8</t>
        </is>
      </c>
      <c r="I28" s="10">
        <f>IFERROR(VLOOKUP(H28,'Kế hoạch sprint'!$A$5:$B$14,2,FALSE),"")</f>
        <v/>
      </c>
      <c r="J28" s="18" t="inlineStr">
        <is>
          <t>To Do</t>
        </is>
      </c>
      <c r="K28" s="10" t="inlineStr">
        <is>
          <t>US-17</t>
        </is>
      </c>
      <c r="L28" s="10" t="inlineStr">
        <is>
          <t>BR-17</t>
        </is>
      </c>
      <c r="M28" s="10" t="inlineStr">
        <is>
          <t>UC-32</t>
        </is>
      </c>
      <c r="N28" s="10" t="inlineStr">
        <is>
          <t>playback.html (Xem đồng bộ)</t>
        </is>
      </c>
      <c r="O28" s="10" t="inlineStr">
        <is>
          <t>Web player</t>
        </is>
      </c>
      <c r="P28" s="10" t="inlineStr">
        <is>
          <t>Kịch bản: Đồng bộ 4 camera
  Giả sử Operator chọn 4 camera vào chế độ đồng bộ
  Khi chọn 14:00 trên timeline chung
  Thì cả 4 camera phát từ 14:00, lệch nhau ≤ 1 giây
Kịch bản: Giới hạn 4 camera
  Giả sử đã có 4 camera đồng bộ
  Khi chọn thêm camera thứ 5
  Thì hệ thống không cho thêm và thông báo giới hạn</t>
        </is>
      </c>
      <c r="Q28" s="19" t="n"/>
      <c r="R28" s="10" t="inlineStr">
        <is>
          <t>Tối đa 4 camera; lệch ≤ 1 giây.</t>
        </is>
      </c>
    </row>
    <row r="29">
      <c r="A29" s="16" t="inlineStr">
        <is>
          <t>US-20</t>
        </is>
      </c>
      <c r="B29" s="17" t="inlineStr">
        <is>
          <t>Story</t>
        </is>
      </c>
      <c r="C29" s="10" t="inlineStr">
        <is>
          <t>EP-03 Ghi hình và xem lại</t>
        </is>
      </c>
      <c r="D29" s="10" t="inlineStr">
        <is>
          <t>Xuất clip</t>
        </is>
      </c>
      <c r="E29" s="10" t="inlineStr">
        <is>
          <t>Là Site Manager, tôi muốn xuất đoạn video ra file, để gửi cho bên liên quan.</t>
        </is>
      </c>
      <c r="F29" s="17" t="inlineStr">
        <is>
          <t>Must</t>
        </is>
      </c>
      <c r="G29" s="18" t="n">
        <v>8</v>
      </c>
      <c r="H29" s="18" t="inlineStr">
        <is>
          <t>S5</t>
        </is>
      </c>
      <c r="I29" s="10">
        <f>IFERROR(VLOOKUP(H29,'Kế hoạch sprint'!$A$5:$B$14,2,FALSE),"")</f>
        <v/>
      </c>
      <c r="J29" s="18" t="inlineStr">
        <is>
          <t>To Do</t>
        </is>
      </c>
      <c r="K29" s="10" t="inlineStr">
        <is>
          <t>US-17</t>
        </is>
      </c>
      <c r="L29" s="10" t="inlineStr">
        <is>
          <t>BR-18, RULE-01</t>
        </is>
      </c>
      <c r="M29" s="10" t="inlineStr">
        <is>
          <t>UC-33</t>
        </is>
      </c>
      <c r="N29" s="10" t="inlineStr">
        <is>
          <t>playback.html (Xuất clip)</t>
        </is>
      </c>
      <c r="O29" s="10" t="inlineStr">
        <is>
          <t>Core export; RabbitMQ; Media Worker FFmpeg; MinIO</t>
        </is>
      </c>
      <c r="P29" s="10" t="inlineStr">
        <is>
          <t>Kịch bản: Xuất thành công
  Giả sử Site Manager có EXPORT_VIDEO
  Khi chọn 13:58–14:03 và bấm "Xuất"
  Thì nhận thông báo khi clip sẵn sàng
  Và file MP4 phát được bằng trình phát phổ biến
  Và nhật ký ghi EXPORT_VIDEO
Kịch bản: Quá 60 phút
  Giả sử khoảng chọn dài 75 phút
  Khi bấm "Xuất"
  Thì hệ thống yêu cầu rút ngắn và không tạo công việc xuất
Kịch bản: Không có quyền
  Giả sử Operator không có EXPORT_VIDEO
  Khi mở màn hình Xem lại
  Thì không thấy nút "Xuất clip"
Kịch bản: Liên kết hết hạn
  Giả sử clip READY từ 25 giờ trước
  Khi người dùng mở liên kết tải
  Thì trạng thái "Hết hạn" và phải xuất lại</t>
        </is>
      </c>
      <c r="Q29" s="19" t="n"/>
      <c r="R29" s="10" t="inlineStr">
        <is>
          <t>MP4 H.264; ExportJob QUEUED→PROCESSING→READY→EXPIRED; URL ký 5 phút.</t>
        </is>
      </c>
    </row>
    <row r="30">
      <c r="A30" s="16" t="inlineStr">
        <is>
          <t>US-21</t>
        </is>
      </c>
      <c r="B30" s="17" t="inlineStr">
        <is>
          <t>Story</t>
        </is>
      </c>
      <c r="C30" s="10" t="inlineStr">
        <is>
          <t>EP-03 Ghi hình và xem lại</t>
        </is>
      </c>
      <c r="D30" s="10" t="inlineStr">
        <is>
          <t>Thời gian lưu trữ, giữ lại phục vụ điều tra, tự xóa</t>
        </is>
      </c>
      <c r="E30" s="10" t="inlineStr">
        <is>
          <t>Là Admin, tôi muốn đặt thời gian lưu và giữ lại đoạn cần điều tra, để kiểm soát dung lượng và tuân thủ quy định.</t>
        </is>
      </c>
      <c r="F30" s="17" t="inlineStr">
        <is>
          <t>Must</t>
        </is>
      </c>
      <c r="G30" s="18" t="n">
        <v>8</v>
      </c>
      <c r="H30" s="18" t="inlineStr">
        <is>
          <t>S4</t>
        </is>
      </c>
      <c r="I30" s="10">
        <f>IFERROR(VLOOKUP(H30,'Kế hoạch sprint'!$A$5:$B$14,2,FALSE),"")</f>
        <v/>
      </c>
      <c r="J30" s="18" t="inlineStr">
        <is>
          <t>To Do</t>
        </is>
      </c>
      <c r="K30" s="10" t="inlineStr">
        <is>
          <t>US-16</t>
        </is>
      </c>
      <c r="L30" s="10" t="inlineStr">
        <is>
          <t>BR-19, RULE-02</t>
        </is>
      </c>
      <c r="M30" s="10" t="inlineStr">
        <is>
          <t>UC-34, UC-35, UC-36</t>
        </is>
      </c>
      <c r="N30" s="10" t="inlineStr">
        <is>
          <t>system.html (Lưu trữ); camera-detail.html; playback.html (Giữ lại)</t>
        </is>
      </c>
      <c r="O30" s="10" t="inlineStr">
        <is>
          <t>Core recording (RetentionPolicy, EvidenceHold); SADD 3.11.2</t>
        </is>
      </c>
      <c r="P30" s="10" t="inlineStr">
        <is>
          <t>Kịch bản: Ghi đè theo camera
  Giả sử mặc định tổ chức 30 ngày, camera Quầy 1 ghi đè 90 ngày
  Khi job xóa chạy
  Thì video Quầy 1 dưới 90 ngày không bị xóa
Kịch bản: Giữ lại phục vụ điều tra
  Giả sử đoạn 13:45–14:15 ngày 15/10 được giữ lại
  Khi đoạn đó quá hạn lưu trữ
  Thì đoạn đó không bị xóa cho đến khi bỏ đánh dấu
Kịch bản: Quyền giữ lại
  Giả sử Operator không có HOLD_EVIDENCE
  Khi mở màn hình Xem lại
  Thì không thấy nút "Giữ lại phục vụ điều tra"</t>
        </is>
      </c>
      <c r="Q30" s="19" t="n"/>
      <c r="R30" s="10" t="inlineStr">
        <is>
          <t>Job 02:00 hằng ngày, xóa lô 500; giá trị mặc định chờ OQ-04.</t>
        </is>
      </c>
    </row>
    <row r="31">
      <c r="A31" s="16" t="inlineStr">
        <is>
          <t>US-22</t>
        </is>
      </c>
      <c r="B31" s="17" t="inlineStr">
        <is>
          <t>Story</t>
        </is>
      </c>
      <c r="C31" s="10" t="inlineStr">
        <is>
          <t>EP-03 Ghi hình và xem lại</t>
        </is>
      </c>
      <c r="D31" s="10" t="inlineStr">
        <is>
          <t>Xem lại từ thiết bị</t>
        </is>
      </c>
      <c r="E31" s="10" t="inlineStr">
        <is>
          <t>Là Operator, tôi muốn xem video trên thẻ nhớ hoặc đầu ghi, để có dữ liệu cả khi máy chủ không ghi được.</t>
        </is>
      </c>
      <c r="F31" s="17" t="inlineStr">
        <is>
          <t>Should</t>
        </is>
      </c>
      <c r="G31" s="18" t="n">
        <v>8</v>
      </c>
      <c r="H31" s="18" t="inlineStr">
        <is>
          <t>S7</t>
        </is>
      </c>
      <c r="I31" s="10">
        <f>IFERROR(VLOOKUP(H31,'Kế hoạch sprint'!$A$5:$B$14,2,FALSE),"")</f>
        <v/>
      </c>
      <c r="J31" s="18" t="inlineStr">
        <is>
          <t>To Do</t>
        </is>
      </c>
      <c r="K31" s="10" t="inlineStr">
        <is>
          <t>US-17, TS-05</t>
        </is>
      </c>
      <c r="L31" s="10" t="inlineStr">
        <is>
          <t>BR-20</t>
        </is>
      </c>
      <c r="M31" s="10" t="inlineStr">
        <is>
          <t>UC-31</t>
        </is>
      </c>
      <c r="N31" s="10" t="inlineStr">
        <is>
          <t>playback.html (Nguồn: Thiết bị)</t>
        </is>
      </c>
      <c r="O31" s="10" t="inlineStr">
        <is>
          <t>Device Gateway edge_playback (Profile G); MediaMTX</t>
        </is>
      </c>
      <c r="P31" s="10" t="inlineStr">
        <is>
          <t>Kịch bản: Nguồn thiết bị
  Giả sử camera hỗ trợ Profile G và có video trên thẻ nhớ
  Khi chọn nguồn "Thiết bị"
  Thì timeline hiển thị đoạn video trên thẻ nhớ và phát được
Kịch bản: Không hỗ trợ
  Giả sử camera không hỗ trợ Profile G
  Khi mở Xem lại
  Thì tùy chọn nguồn "Thiết bị" bị vô hiệu kèm lý do</t>
        </is>
      </c>
      <c r="Q31" s="19" t="n"/>
      <c r="R31" s="10" t="inlineStr">
        <is>
          <t>Chỉ với camera Profile G hoặc kênh đầu ghi; xuất clip theo cùng quy tắc US-20.</t>
        </is>
      </c>
    </row>
    <row r="32">
      <c r="A32" s="16" t="inlineStr">
        <is>
          <t>US-23</t>
        </is>
      </c>
      <c r="B32" s="17" t="inlineStr">
        <is>
          <t>Story</t>
        </is>
      </c>
      <c r="C32" s="10" t="inlineStr">
        <is>
          <t>EP-04 Cấu hình camera</t>
        </is>
      </c>
      <c r="D32" s="10" t="inlineStr">
        <is>
          <t>Cấu hình luồng video</t>
        </is>
      </c>
      <c r="E32" s="10" t="inlineStr">
        <is>
          <t>Là Technician, tôi muốn chỉnh độ phân giải, fps, bitrate, chuẩn nén từ CamHub, để không phải vào giao diện của từng camera.</t>
        </is>
      </c>
      <c r="F32" s="17" t="inlineStr">
        <is>
          <t>Must</t>
        </is>
      </c>
      <c r="G32" s="18" t="n">
        <v>5</v>
      </c>
      <c r="H32" s="18" t="inlineStr">
        <is>
          <t>S4</t>
        </is>
      </c>
      <c r="I32" s="10">
        <f>IFERROR(VLOOKUP(H32,'Kế hoạch sprint'!$A$5:$B$14,2,FALSE),"")</f>
        <v/>
      </c>
      <c r="J32" s="18" t="inlineStr">
        <is>
          <t>To Do</t>
        </is>
      </c>
      <c r="K32" s="10" t="inlineStr">
        <is>
          <t>US-29</t>
        </is>
      </c>
      <c r="L32" s="10" t="inlineStr">
        <is>
          <t>BR-21</t>
        </is>
      </c>
      <c r="M32" s="10" t="inlineStr">
        <is>
          <t>UC-40</t>
        </is>
      </c>
      <c r="N32" s="10" t="inlineStr">
        <is>
          <t>camera-detail.html (Luồng video)</t>
        </is>
      </c>
      <c r="O32" s="10" t="inlineStr">
        <is>
          <t>Core configuration; Device Gateway control</t>
        </is>
      </c>
      <c r="P32" s="10" t="inlineStr">
        <is>
          <t>Kịch bản: Áp dụng thành công
  Giả sử camera trực tuyến
  Khi Technician đổi bitrate luồng chính và bấm "Áp dụng"
  Thì trong ≤ 15 giây hiển thị "Đã áp dụng" cho tham số đó
Kịch bản: Áp dụng một phần
  Giả sử Technician đổi 3 tham số
  Khi camera từ chối 1 tham số
  Thì 2 tham số được áp dụng
  Và tham số bị từ chối hiển thị thông báo lỗi do camera trả về</t>
        </is>
      </c>
      <c r="Q32" s="19" t="n"/>
      <c r="R32" s="10" t="inlineStr">
        <is>
          <t>Kết quả theo từng tham số; nhật ký CHANGE_CONFIG.</t>
        </is>
      </c>
    </row>
    <row r="33">
      <c r="A33" s="16" t="inlineStr">
        <is>
          <t>US-24</t>
        </is>
      </c>
      <c r="B33" s="17" t="inlineStr">
        <is>
          <t>Story</t>
        </is>
      </c>
      <c r="C33" s="10" t="inlineStr">
        <is>
          <t>EP-04 Cấu hình camera</t>
        </is>
      </c>
      <c r="D33" s="10" t="inlineStr">
        <is>
          <t>Cấu hình hình ảnh</t>
        </is>
      </c>
      <c r="E33" s="10" t="inlineStr">
        <is>
          <t>Là Technician, tôi muốn chỉnh sáng, tương phản, hồng ngoại, WDR, để hình ảnh rõ hơn mà không cần đến hiện trường.</t>
        </is>
      </c>
      <c r="F33" s="17" t="inlineStr">
        <is>
          <t>Should</t>
        </is>
      </c>
      <c r="G33" s="18" t="n">
        <v>3</v>
      </c>
      <c r="H33" s="18" t="inlineStr">
        <is>
          <t>S7</t>
        </is>
      </c>
      <c r="I33" s="10">
        <f>IFERROR(VLOOKUP(H33,'Kế hoạch sprint'!$A$5:$B$14,2,FALSE),"")</f>
        <v/>
      </c>
      <c r="J33" s="18" t="inlineStr">
        <is>
          <t>To Do</t>
        </is>
      </c>
      <c r="K33" s="10" t="inlineStr">
        <is>
          <t>US-23</t>
        </is>
      </c>
      <c r="L33" s="10" t="inlineStr">
        <is>
          <t>BR-22</t>
        </is>
      </c>
      <c r="M33" s="10" t="inlineStr">
        <is>
          <t>UC-40</t>
        </is>
      </c>
      <c r="N33" s="10" t="inlineStr">
        <is>
          <t>camera-detail.html (Hình ảnh)</t>
        </is>
      </c>
      <c r="O33" s="10" t="inlineStr">
        <is>
          <t>Core configuration; Device Gateway control</t>
        </is>
      </c>
      <c r="P33" s="10" t="inlineStr">
        <is>
          <t>Kịch bản: Khôi phục
  Giả sử Technician đã kéo thanh độ sáng
  Khi bấm "Khôi phục giá trị trước"
  Thì các giá trị quay về như trước khi chỉnh</t>
        </is>
      </c>
      <c r="Q33" s="19" t="n"/>
      <c r="R33" s="10" t="inlineStr">
        <is>
          <t>Xem trước trực tiếp; khôi phục giá trị trước.</t>
        </is>
      </c>
    </row>
    <row r="34">
      <c r="A34" s="16" t="inlineStr">
        <is>
          <t>US-25</t>
        </is>
      </c>
      <c r="B34" s="17" t="inlineStr">
        <is>
          <t>Story</t>
        </is>
      </c>
      <c r="C34" s="10" t="inlineStr">
        <is>
          <t>EP-04 Cấu hình camera</t>
        </is>
      </c>
      <c r="D34" s="10" t="inlineStr">
        <is>
          <t>Cấu hình mạng và thời gian</t>
        </is>
      </c>
      <c r="E34" s="10" t="inlineStr">
        <is>
          <t>Là Technician, tôi muốn đặt IP, NTP, múi giờ cho camera, để thời gian video chính xác.</t>
        </is>
      </c>
      <c r="F34" s="17" t="inlineStr">
        <is>
          <t>Should</t>
        </is>
      </c>
      <c r="G34" s="18" t="n">
        <v>3</v>
      </c>
      <c r="H34" s="18" t="inlineStr">
        <is>
          <t>S8</t>
        </is>
      </c>
      <c r="I34" s="10">
        <f>IFERROR(VLOOKUP(H34,'Kế hoạch sprint'!$A$5:$B$14,2,FALSE),"")</f>
        <v/>
      </c>
      <c r="J34" s="18" t="inlineStr">
        <is>
          <t>To Do</t>
        </is>
      </c>
      <c r="K34" s="10" t="inlineStr">
        <is>
          <t>US-23</t>
        </is>
      </c>
      <c r="L34" s="10" t="inlineStr">
        <is>
          <t>BR-23</t>
        </is>
      </c>
      <c r="M34" s="10" t="inlineStr">
        <is>
          <t>UC-40</t>
        </is>
      </c>
      <c r="N34" s="10" t="inlineStr">
        <is>
          <t>camera-detail.html (Mạng &amp; thời gian)</t>
        </is>
      </c>
      <c r="O34" s="10" t="inlineStr">
        <is>
          <t>Core configuration; Device Gateway control</t>
        </is>
      </c>
      <c r="P34" s="10" t="inlineStr">
        <is>
          <t>Kịch bản: Đổi IP
  Giả sử Technician sửa địa chỉ IP
  Khi bấm "Áp dụng"
  Thì hệ thống cảnh báo có thể mất kết nối tạm thời
  Và sau khi đổi thành công, camera được cập nhật địa chỉ mới
Kịch bản: Lệch giờ
  Giả sử camera lệch 7 giây so với máy chủ
  Khi mở danh sách camera
  Thì camera được đánh dấu lệch giờ</t>
        </is>
      </c>
      <c r="Q34" s="19" t="n"/>
      <c r="R34" s="10" t="inlineStr">
        <is>
          <t>Cảnh báo đổi IP; đánh dấu camera lệch giờ &gt; 5 giây.</t>
        </is>
      </c>
    </row>
    <row r="35">
      <c r="A35" s="16" t="inlineStr">
        <is>
          <t>US-26</t>
        </is>
      </c>
      <c r="B35" s="17" t="inlineStr">
        <is>
          <t>Story</t>
        </is>
      </c>
      <c r="C35" s="10" t="inlineStr">
        <is>
          <t>EP-04 Cấu hình camera</t>
        </is>
      </c>
      <c r="D35" s="10" t="inlineStr">
        <is>
          <t>Vùng chuyển động và vùng che riêng tư</t>
        </is>
      </c>
      <c r="E35" s="10" t="inlineStr">
        <is>
          <t>Là Technician, tôi muốn vẽ vùng phát hiện chuyển động và vùng che, để giảm cảnh báo giả và bảo vệ quyền riêng tư.</t>
        </is>
      </c>
      <c r="F35" s="17" t="inlineStr">
        <is>
          <t>Must</t>
        </is>
      </c>
      <c r="G35" s="18" t="n">
        <v>8</v>
      </c>
      <c r="H35" s="18" t="inlineStr">
        <is>
          <t>S5</t>
        </is>
      </c>
      <c r="I35" s="10">
        <f>IFERROR(VLOOKUP(H35,'Kế hoạch sprint'!$A$5:$B$14,2,FALSE),"")</f>
        <v/>
      </c>
      <c r="J35" s="18" t="inlineStr">
        <is>
          <t>To Do</t>
        </is>
      </c>
      <c r="K35" s="10" t="inlineStr">
        <is>
          <t>US-23</t>
        </is>
      </c>
      <c r="L35" s="10" t="inlineStr">
        <is>
          <t>BR-24, RULE-03</t>
        </is>
      </c>
      <c r="M35" s="10" t="inlineStr">
        <is>
          <t>UC-40</t>
        </is>
      </c>
      <c r="N35" s="10" t="inlineStr">
        <is>
          <t>camera-detail.html (Vùng)</t>
        </is>
      </c>
      <c r="O35" s="10" t="inlineStr">
        <is>
          <t>Core configuration (MotionZone, PrivacyMask); Device Gateway</t>
        </is>
      </c>
      <c r="P35" s="10" t="inlineStr">
        <is>
          <t>Kịch bản: Vùng che trên video ghi
  Giả sử Technician vẽ vùng che cửa sổ nhà dân
  Khi áp dụng
  Thì vùng đó bị che cả khi xem trực tiếp lẫn trong video ghi
Kịch bản: Giới hạn camera
  Giả sử camera chỉ hỗ trợ 4 vùng che
  Khi vẽ vùng thứ 5
  Thì hệ thống không cho thêm và nêu giới hạn</t>
        </is>
      </c>
      <c r="Q35" s="19" t="n"/>
      <c r="R35" s="10" t="inlineStr">
        <is>
          <t>Lưới ô hoặc đa giác theo khả năng camera; vùng che áp dụng trên camera.</t>
        </is>
      </c>
    </row>
    <row r="36">
      <c r="A36" s="16" t="inlineStr">
        <is>
          <t>US-27</t>
        </is>
      </c>
      <c r="B36" s="17" t="inlineStr">
        <is>
          <t>Story</t>
        </is>
      </c>
      <c r="C36" s="10" t="inlineStr">
        <is>
          <t>EP-04 Cấu hình camera</t>
        </is>
      </c>
      <c r="D36" s="10" t="inlineStr">
        <is>
          <t>Cấu hình mẫu</t>
        </is>
      </c>
      <c r="E36" s="10" t="inlineStr">
        <is>
          <t>Là Technician, tôi muốn tạo mẫu cấu hình và áp cho nhiều camera, để cấu hình hàng loạt trong một lần.</t>
        </is>
      </c>
      <c r="F36" s="17" t="inlineStr">
        <is>
          <t>Should</t>
        </is>
      </c>
      <c r="G36" s="18" t="n">
        <v>5</v>
      </c>
      <c r="H36" s="18" t="inlineStr">
        <is>
          <t>S8</t>
        </is>
      </c>
      <c r="I36" s="10">
        <f>IFERROR(VLOOKUP(H36,'Kế hoạch sprint'!$A$5:$B$14,2,FALSE),"")</f>
        <v/>
      </c>
      <c r="J36" s="18" t="inlineStr">
        <is>
          <t>To Do</t>
        </is>
      </c>
      <c r="K36" s="10" t="inlineStr">
        <is>
          <t>US-23, US-24, US-16</t>
        </is>
      </c>
      <c r="L36" s="10" t="inlineStr">
        <is>
          <t>BR-25</t>
        </is>
      </c>
      <c r="M36" s="10" t="inlineStr">
        <is>
          <t>UC-41</t>
        </is>
      </c>
      <c r="N36" s="10" t="inlineStr">
        <is>
          <t>templates.html</t>
        </is>
      </c>
      <c r="O36" s="10" t="inlineStr">
        <is>
          <t>Core configuration (ConfigTemplate, TemplateApplication)</t>
        </is>
      </c>
      <c r="P36" s="10" t="inlineStr">
        <is>
          <t>Kịch bản: Áp mẫu cho 4 camera
  Giả sử mẫu "Kho – ghi theo sự kiện"
  Khi áp cho 4 camera, 1 camera không hỗ trợ WDR, 1 camera mất kết nối
  Thì kết quả: 2 thành công, 1 một phần (bỏ qua WDR), 1 thất bại
  Và có nút "Áp lại" cho camera thất bại</t>
        </is>
      </c>
      <c r="Q36" s="19" t="n"/>
      <c r="R36" s="10" t="inlineStr">
        <is>
          <t>Kết quả SUCCESS/PARTIAL/FAILED từng camera; áp lại riêng camera lỗi.</t>
        </is>
      </c>
    </row>
    <row r="37">
      <c r="A37" s="16" t="inlineStr">
        <is>
          <t>US-28</t>
        </is>
      </c>
      <c r="B37" s="17" t="inlineStr">
        <is>
          <t>Story</t>
        </is>
      </c>
      <c r="C37" s="10" t="inlineStr">
        <is>
          <t>EP-04 Cấu hình camera</t>
        </is>
      </c>
      <c r="D37" s="10" t="inlineStr">
        <is>
          <t>Đổi mật khẩu, khởi động lại camera</t>
        </is>
      </c>
      <c r="E37" s="10" t="inlineStr">
        <is>
          <t>Là Technician, tôi muốn đổi mật khẩu và khởi động lại camera từ xa, để xử lý sự cố nhanh.</t>
        </is>
      </c>
      <c r="F37" s="17" t="inlineStr">
        <is>
          <t>Should</t>
        </is>
      </c>
      <c r="G37" s="18" t="n">
        <v>3</v>
      </c>
      <c r="H37" s="18" t="inlineStr">
        <is>
          <t>S6</t>
        </is>
      </c>
      <c r="I37" s="10">
        <f>IFERROR(VLOOKUP(H37,'Kế hoạch sprint'!$A$5:$B$14,2,FALSE),"")</f>
        <v/>
      </c>
      <c r="J37" s="18" t="inlineStr">
        <is>
          <t>To Do</t>
        </is>
      </c>
      <c r="K37" s="10" t="inlineStr">
        <is>
          <t>US-02</t>
        </is>
      </c>
      <c r="L37" s="10" t="inlineStr">
        <is>
          <t>BR-26</t>
        </is>
      </c>
      <c r="M37" s="10" t="inlineStr">
        <is>
          <t>UC-42</t>
        </is>
      </c>
      <c r="N37" s="10" t="inlineStr">
        <is>
          <t>cameras.html (Đổi mật khẩu); camera-detail.html (Khởi động lại)</t>
        </is>
      </c>
      <c r="O37" s="10" t="inlineStr">
        <is>
          <t>Device Gateway control; Core device</t>
        </is>
      </c>
      <c r="P37" s="10" t="inlineStr">
        <is>
          <t>Kịch bản: Đổi mật khẩu hàng loạt
  Giả sử 4 camera được chọn
  Khi đổi mật khẩu
  Thì mật khẩu mới được lưu cho các camera đổi thành công
  Và camera đổi thất bại giữ mật khẩu cũ và được báo lỗi
Kịch bản: Khởi động lại
  Giả sử camera Kho số 7 treo
  Khi Technician xác nhận khởi động lại
  Thì hệ thống theo dõi đến khi camera trực tuyến lại</t>
        </is>
      </c>
      <c r="Q37" s="19" t="n"/>
      <c r="R37" s="10" t="inlineStr">
        <is>
          <t>Cập nhật mật khẩu đã lưu khi đổi thành công; nhật ký REBOOT_CAMERA, CHANGE_CAMERA_PASSWORD.</t>
        </is>
      </c>
    </row>
    <row r="38">
      <c r="A38" s="16" t="inlineStr">
        <is>
          <t>US-29</t>
        </is>
      </c>
      <c r="B38" s="17" t="inlineStr">
        <is>
          <t>Story</t>
        </is>
      </c>
      <c r="C38" s="10" t="inlineStr">
        <is>
          <t>EP-04 Cấu hình camera</t>
        </is>
      </c>
      <c r="D38" s="10" t="inlineStr">
        <is>
          <t>Chỉ hiển thị tham số được hỗ trợ</t>
        </is>
      </c>
      <c r="E38" s="10" t="inlineStr">
        <is>
          <t>Là Technician, tôi muốn chỉ thấy tùy chọn camera thực sự hỗ trợ, để không cấu hình sai.</t>
        </is>
      </c>
      <c r="F38" s="17" t="inlineStr">
        <is>
          <t>Must</t>
        </is>
      </c>
      <c r="G38" s="18" t="n">
        <v>5</v>
      </c>
      <c r="H38" s="18" t="inlineStr">
        <is>
          <t>S3</t>
        </is>
      </c>
      <c r="I38" s="10">
        <f>IFERROR(VLOOKUP(H38,'Kế hoạch sprint'!$A$5:$B$14,2,FALSE),"")</f>
        <v/>
      </c>
      <c r="J38" s="18" t="inlineStr">
        <is>
          <t>To Do</t>
        </is>
      </c>
      <c r="K38" s="10" t="inlineStr">
        <is>
          <t>TS-05, US-02</t>
        </is>
      </c>
      <c r="L38" s="10" t="inlineStr">
        <is>
          <t>BR-27</t>
        </is>
      </c>
      <c r="M38" s="10" t="inlineStr">
        <is>
          <t>UC-40</t>
        </is>
      </c>
      <c r="N38" s="10" t="inlineStr">
        <is>
          <t>camera-detail.html</t>
        </is>
      </c>
      <c r="O38" s="10" t="inlineStr">
        <is>
          <t>Device Gateway capabilities; DeviceCapabilities</t>
        </is>
      </c>
      <c r="P38" s="10" t="inlineStr">
        <is>
          <t>Kịch bản: Ẩn tùy chọn không hỗ trợ
  Giả sử luồng phụ camera chỉ hỗ trợ H.264
  Khi mở cấu hình luồng phụ
  Thì danh sách chuẩn nén chỉ có H.264</t>
        </is>
      </c>
      <c r="Q38" s="19" t="n"/>
      <c r="R38" s="10" t="inlineStr">
        <is>
          <t>Đọc GetVideoEncoderConfigurationOptions… và lưu vào DeviceCapabilities.</t>
        </is>
      </c>
    </row>
    <row r="39">
      <c r="A39" s="16" t="inlineStr">
        <is>
          <t>US-30</t>
        </is>
      </c>
      <c r="B39" s="17" t="inlineStr">
        <is>
          <t>Story</t>
        </is>
      </c>
      <c r="C39" s="10" t="inlineStr">
        <is>
          <t>EP-05 Người dùng, phân quyền, nhật ký</t>
        </is>
      </c>
      <c r="D39" s="10" t="inlineStr">
        <is>
          <t>Đăng nhập tài khoản cá nhân</t>
        </is>
      </c>
      <c r="E39" s="10" t="inlineStr">
        <is>
          <t>Là Người dùng, tôi muốn đăng nhập bằng tài khoản riêng, để mọi thao tác gắn với tôi.</t>
        </is>
      </c>
      <c r="F39" s="17" t="inlineStr">
        <is>
          <t>Must</t>
        </is>
      </c>
      <c r="G39" s="18" t="n">
        <v>5</v>
      </c>
      <c r="H39" s="18" t="inlineStr">
        <is>
          <t>S1</t>
        </is>
      </c>
      <c r="I39" s="10">
        <f>IFERROR(VLOOKUP(H39,'Kế hoạch sprint'!$A$5:$B$14,2,FALSE),"")</f>
        <v/>
      </c>
      <c r="J39" s="18" t="inlineStr">
        <is>
          <t>To Do</t>
        </is>
      </c>
      <c r="K39" s="10" t="inlineStr">
        <is>
          <t>TS-04</t>
        </is>
      </c>
      <c r="L39" s="10" t="inlineStr">
        <is>
          <t>BR-28, RULE-04</t>
        </is>
      </c>
      <c r="M39" s="10" t="inlineStr">
        <is>
          <t>UC-01, UC-03</t>
        </is>
      </c>
      <c r="N39" s="10" t="inlineStr">
        <is>
          <t>login.html</t>
        </is>
      </c>
      <c r="O39" s="10" t="inlineStr">
        <is>
          <t>Core identity; Spring Security; JWT 15 phút + refresh cookie</t>
        </is>
      </c>
      <c r="P39" s="10" t="inlineStr">
        <is>
          <t>Kịch bản: Đăng nhập thành công
  Giả sử tài khoản cục bộ hợp lệ
  Khi nhập đúng email và mật khẩu
  Thì vào trang mặc định theo vai trò
  Và nhật ký ghi LOGIN
Kịch bản: Khóa tài khoản
  Giả sử người dùng đã sai mật khẩu 4 lần liên tiếp
  Khi sai lần thứ 5
  Thì tài khoản bị khóa và nhật ký ghi LOGIN_FAILED
Kịch bản: Hết phiên
  Giả sử người dùng không thao tác 12 giờ
  Khi gọi một API
  Thì phải đăng nhập lại</t>
        </is>
      </c>
      <c r="Q39" s="19" t="n"/>
      <c r="R39" s="10" t="inlineStr">
        <is>
          <t>Argon2id; khóa sau 5 lần sai; phiên hết hạn 12 giờ không hoạt động.</t>
        </is>
      </c>
    </row>
    <row r="40">
      <c r="A40" s="16" t="inlineStr">
        <is>
          <t>US-31</t>
        </is>
      </c>
      <c r="B40" s="17" t="inlineStr">
        <is>
          <t>Story</t>
        </is>
      </c>
      <c r="C40" s="10" t="inlineStr">
        <is>
          <t>EP-05 Người dùng, phân quyền, nhật ký</t>
        </is>
      </c>
      <c r="D40" s="10" t="inlineStr">
        <is>
          <t>Xác thực hai lớp</t>
        </is>
      </c>
      <c r="E40" s="10" t="inlineStr">
        <is>
          <t>Là Admin, tôi muốn bắt buộc 2FA cho các vai trò quan trọng, để giảm rủi ro lộ mật khẩu.</t>
        </is>
      </c>
      <c r="F40" s="17" t="inlineStr">
        <is>
          <t>Must</t>
        </is>
      </c>
      <c r="G40" s="18" t="n">
        <v>5</v>
      </c>
      <c r="H40" s="18" t="inlineStr">
        <is>
          <t>S2</t>
        </is>
      </c>
      <c r="I40" s="10">
        <f>IFERROR(VLOOKUP(H40,'Kế hoạch sprint'!$A$5:$B$14,2,FALSE),"")</f>
        <v/>
      </c>
      <c r="J40" s="18" t="inlineStr">
        <is>
          <t>To Do</t>
        </is>
      </c>
      <c r="K40" s="10" t="inlineStr">
        <is>
          <t>US-30</t>
        </is>
      </c>
      <c r="L40" s="10" t="inlineStr">
        <is>
          <t>BR-36</t>
        </is>
      </c>
      <c r="M40" s="10" t="inlineStr">
        <is>
          <t>UC-02</t>
        </is>
      </c>
      <c r="N40" s="10" t="inlineStr">
        <is>
          <t>login.html (2FA); system.html (Bảo mật)</t>
        </is>
      </c>
      <c r="O40" s="10" t="inlineStr">
        <is>
          <t>Core identity (TOTP, RecoveryCode)</t>
        </is>
      </c>
      <c r="P40" s="10" t="inlineStr">
        <is>
          <t>Kịch bản: Bắt buộc 2FA
  Giả sử Admin bật bắt buộc 2FA cho vai trò Technician
  Khi Minh (Technician) đăng nhập lần kế tiếp
  Thì Minh phải thiết lập 2FA trước khi vào hệ thống
Kịch bản: Mã dự phòng
  Giả sử người dùng mất điện thoại
  Khi nhập một mã dự phòng hợp lệ
  Thì đăng nhập thành công và mã đó không dùng lại được</t>
        </is>
      </c>
      <c r="Q40" s="19" t="n"/>
      <c r="R40" s="10" t="inlineStr">
        <is>
          <t>TOTP; 10 mã dự phòng; INV-11, INV-25.</t>
        </is>
      </c>
    </row>
    <row r="41">
      <c r="A41" s="16" t="inlineStr">
        <is>
          <t>US-32</t>
        </is>
      </c>
      <c r="B41" s="17" t="inlineStr">
        <is>
          <t>Story</t>
        </is>
      </c>
      <c r="C41" s="10" t="inlineStr">
        <is>
          <t>EP-05 Người dùng, phân quyền, nhật ký</t>
        </is>
      </c>
      <c r="D41" s="10" t="inlineStr">
        <is>
          <t>Phân quyền theo vai trò và phạm vi</t>
        </is>
      </c>
      <c r="E41" s="10" t="inlineStr">
        <is>
          <t>Là Admin, tôi muốn gán vai trò và phạm vi camera cho từng người, để mỗi người chỉ thấy và làm đúng việc của mình.</t>
        </is>
      </c>
      <c r="F41" s="17" t="inlineStr">
        <is>
          <t>Must</t>
        </is>
      </c>
      <c r="G41" s="18" t="n">
        <v>8</v>
      </c>
      <c r="H41" s="18" t="inlineStr">
        <is>
          <t>S1</t>
        </is>
      </c>
      <c r="I41" s="10">
        <f>IFERROR(VLOOKUP(H41,'Kế hoạch sprint'!$A$5:$B$14,2,FALSE),"")</f>
        <v/>
      </c>
      <c r="J41" s="18" t="inlineStr">
        <is>
          <t>To Do</t>
        </is>
      </c>
      <c r="K41" s="10" t="inlineStr">
        <is>
          <t>US-05, US-30</t>
        </is>
      </c>
      <c r="L41" s="10" t="inlineStr">
        <is>
          <t>BR-29</t>
        </is>
      </c>
      <c r="M41" s="10" t="inlineStr">
        <is>
          <t>UC-03, UC-05</t>
        </is>
      </c>
      <c r="N41" s="10" t="inlineStr">
        <is>
          <t>users.html</t>
        </is>
      </c>
      <c r="O41" s="10" t="inlineStr">
        <is>
          <t>Core access (PermissionEvaluator, cache Redis 3.11.1)</t>
        </is>
      </c>
      <c r="P41" s="10" t="inlineStr">
        <is>
          <t>Kịch bản: Phạm vi theo địa điểm
  Giả sử Lan là Operator phạm vi Kho Bắc Ninh
  Khi Lan mở danh sách camera
  Thì chỉ thấy camera của Kho Bắc Ninh
Kịch bản: Thu hồi quyền có hiệu lực nhanh
  Giả sử Lan đang xem camera Cổng sau
  Khi Admin gỡ quyền của Lan trên Kho Bắc Ninh
  Thì trong ≤ 60 giây ô xem dừng và hiển thị "Không có quyền"
Kịch bản: Site Manager tạo người dùng
  Giả sử Hương là Site Manager của Chi nhánh Hà Nội
  Khi Hương tạo người dùng mới và chọn phạm vi
  Thì chỉ chọn được phạm vi trong Chi nhánh Hà Nội
  Và không chọn được vai trò Admin</t>
        </is>
      </c>
      <c r="Q41" s="19" t="n"/>
      <c r="R41" s="10" t="inlineStr">
        <is>
          <t>INV-10, INV-22, INV-27; hiệu lực ≤ 60 giây; Site Manager tạo người dùng trong địa điểm của mình.</t>
        </is>
      </c>
    </row>
    <row r="42">
      <c r="A42" s="16" t="inlineStr">
        <is>
          <t>US-33</t>
        </is>
      </c>
      <c r="B42" s="17" t="inlineStr">
        <is>
          <t>Story</t>
        </is>
      </c>
      <c r="C42" s="10" t="inlineStr">
        <is>
          <t>EP-05 Người dùng, phân quyền, nhật ký</t>
        </is>
      </c>
      <c r="D42" s="10" t="inlineStr">
        <is>
          <t>Nhật ký thao tác</t>
        </is>
      </c>
      <c r="E42" s="10" t="inlineStr">
        <is>
          <t>Là Admin, tôi muốn xem ai đã làm gì, để truy vết khi có sự cố.</t>
        </is>
      </c>
      <c r="F42" s="17" t="inlineStr">
        <is>
          <t>Must</t>
        </is>
      </c>
      <c r="G42" s="18" t="n">
        <v>5</v>
      </c>
      <c r="H42" s="18" t="inlineStr">
        <is>
          <t>S2</t>
        </is>
      </c>
      <c r="I42" s="10">
        <f>IFERROR(VLOOKUP(H42,'Kế hoạch sprint'!$A$5:$B$14,2,FALSE),"")</f>
        <v/>
      </c>
      <c r="J42" s="18" t="inlineStr">
        <is>
          <t>To Do</t>
        </is>
      </c>
      <c r="K42" s="10" t="inlineStr">
        <is>
          <t>TS-04</t>
        </is>
      </c>
      <c r="L42" s="10" t="inlineStr">
        <is>
          <t>BR-30, RULE-06</t>
        </is>
      </c>
      <c r="M42" s="10" t="inlineStr">
        <is>
          <t>UC-08</t>
        </is>
      </c>
      <c r="N42" s="10" t="inlineStr">
        <is>
          <t>audit.html</t>
        </is>
      </c>
      <c r="O42" s="10" t="inlineStr">
        <is>
          <t>Core audit; bảng audit_log phân vùng, trigger chặn sửa/xóa</t>
        </is>
      </c>
      <c r="P42" s="10" t="inlineStr">
        <is>
          <t>Kịch bản: Tra cứu
  Giả sử có thao tác xuất clip lúc 18:05
  Khi Admin lọc loại EXPORT_VIDEO ngày 21/10
  Thì thấy bản ghi gồm người, thời điểm, IP, đối tượng, kết quả
Kịch bản: Không sửa được
  Giả sử một bản ghi nhật ký
  Khi bất kỳ vai trò nào cố sửa hoặc xóa (kể cả qua DB bằng tài khoản ứng dụng)
  Thì thao tác bị từ chối</t>
        </is>
      </c>
      <c r="Q42" s="19" t="n"/>
      <c r="R42" s="10" t="inlineStr">
        <is>
          <t>Lọc theo người, thời gian, loại, camera; xuất CSV (cũng được ghi nhật ký).</t>
        </is>
      </c>
    </row>
    <row r="43">
      <c r="A43" s="16" t="inlineStr">
        <is>
          <t>US-43</t>
        </is>
      </c>
      <c r="B43" s="17" t="inlineStr">
        <is>
          <t>Story</t>
        </is>
      </c>
      <c r="C43" s="10" t="inlineStr">
        <is>
          <t>EP-05 Người dùng, phân quyền, nhật ký</t>
        </is>
      </c>
      <c r="D43" s="10" t="inlineStr">
        <is>
          <t>Vai trò tùy chỉnh</t>
        </is>
      </c>
      <c r="E43" s="10" t="inlineStr">
        <is>
          <t>Là Admin, tôi muốn tạo vai trò riêng từ tập quyền, để phù hợp với vị trí công việc của tổ chức.</t>
        </is>
      </c>
      <c r="F43" s="17" t="inlineStr">
        <is>
          <t>Should</t>
        </is>
      </c>
      <c r="G43" s="18" t="n">
        <v>5</v>
      </c>
      <c r="H43" s="18" t="inlineStr">
        <is>
          <t>S8</t>
        </is>
      </c>
      <c r="I43" s="10">
        <f>IFERROR(VLOOKUP(H43,'Kế hoạch sprint'!$A$5:$B$14,2,FALSE),"")</f>
        <v/>
      </c>
      <c r="J43" s="18" t="inlineStr">
        <is>
          <t>To Do</t>
        </is>
      </c>
      <c r="K43" s="10" t="inlineStr">
        <is>
          <t>US-32</t>
        </is>
      </c>
      <c r="L43" s="10" t="inlineStr">
        <is>
          <t>BR-39</t>
        </is>
      </c>
      <c r="M43" s="10" t="inlineStr">
        <is>
          <t>UC-04</t>
        </is>
      </c>
      <c r="N43" s="10" t="inlineStr">
        <is>
          <t>users.html (Vai trò)</t>
        </is>
      </c>
      <c r="O43" s="10" t="inlineStr">
        <is>
          <t>Core access (Role, MANAGE_ROLES)</t>
        </is>
      </c>
      <c r="P43" s="10" t="inlineStr">
        <is>
          <t>Kịch bản: Tạo từ vai trò có sẵn
  Giả sử Admin sao chép vai trò Operator
  Khi đặt tên "Bảo vệ ca đêm" và bỏ quyền VIEW_PLAYBACK
  Thì vai trò mới được tạo với các quyền còn lại
Kịch bản: Không xóa vai trò đang dùng
  Giả sử vai trò "Bảo vệ ca đêm" đang gán cho 4 người
  Khi Admin bấm xóa
  Thì bị từ chối và hiển thị số người đang dùng
Kịch bản: Vai trò mặc định
  Giả sử vai trò Operator là vai trò hệ thống
  Khi Admin mở vai trò đó
  Thì không sửa, đổi tên hoặc xóa được</t>
        </is>
      </c>
      <c r="Q43" s="19" t="n"/>
      <c r="R43" s="10" t="inlineStr">
        <is>
          <t>INV-20, INV-21, INV-22.</t>
        </is>
      </c>
    </row>
    <row r="44">
      <c r="A44" s="16" t="inlineStr">
        <is>
          <t>US-44</t>
        </is>
      </c>
      <c r="B44" s="17" t="inlineStr">
        <is>
          <t>Story</t>
        </is>
      </c>
      <c r="C44" s="10" t="inlineStr">
        <is>
          <t>EP-05 Người dùng, phân quyền, nhật ký</t>
        </is>
      </c>
      <c r="D44" s="10" t="inlineStr">
        <is>
          <t>Đăng nhập bằng LDAP/Active Directory</t>
        </is>
      </c>
      <c r="E44" s="10" t="inlineStr">
        <is>
          <t>Là Admin, tôi muốn người dùng đăng nhập bằng tài khoản của tổ chức, để quản lý tài khoản tập trung và vô hiệu hóa ngay khi nghỉ việc.</t>
        </is>
      </c>
      <c r="F44" s="17" t="inlineStr">
        <is>
          <t>Should</t>
        </is>
      </c>
      <c r="G44" s="18" t="n">
        <v>8</v>
      </c>
      <c r="H44" s="18" t="inlineStr">
        <is>
          <t>S8</t>
        </is>
      </c>
      <c r="I44" s="10">
        <f>IFERROR(VLOOKUP(H44,'Kế hoạch sprint'!$A$5:$B$14,2,FALSE),"")</f>
        <v/>
      </c>
      <c r="J44" s="18" t="inlineStr">
        <is>
          <t>To Do</t>
        </is>
      </c>
      <c r="K44" s="10" t="inlineStr">
        <is>
          <t>US-30, US-32</t>
        </is>
      </c>
      <c r="L44" s="10" t="inlineStr">
        <is>
          <t>BR-40, RULE-05</t>
        </is>
      </c>
      <c r="M44" s="10" t="inlineStr">
        <is>
          <t>UC-01, UC-06, UC-07</t>
        </is>
      </c>
      <c r="N44" s="10" t="inlineStr">
        <is>
          <t>users.html (LDAP); login.html</t>
        </is>
      </c>
      <c r="O44" s="10" t="inlineStr">
        <is>
          <t>Core identity (DirectoryConnection, DirectoryGroupMapping); LDAPS</t>
        </is>
      </c>
      <c r="P44" s="10" t="inlineStr">
        <is>
          <t>Kịch bản: Đăng nhập lần đầu
  Giả sử Hương thuộc nhóm AD CamHub-SiteMgr-HN đã ánh xạ
  Khi Hương đăng nhập bằng tài khoản AD lần đầu
  Thì tài khoản được tạo với vai trò Site Manager phạm vi Chi nhánh Hà Nội
Kịch bản: Nghỉ việc
  Giả sử tài khoản AD của Quang bị vô hiệu hóa
  Khi đến lần đồng bộ kế tiếp
  Thì tài khoản CamHub của Quang chuyển "Vô hiệu hóa"
Kịch bản: Máy chủ thư mục lỗi
  Giả sử không kết nối được LDAP/AD
  Khi người dùng thư mục đăng nhập
  Thì thấy thông báo không kết nối được máy chủ thư mục
  Và Admin cục bộ vẫn đăng nhập được</t>
        </is>
      </c>
      <c r="Q44" s="19" t="n"/>
      <c r="R44" s="10" t="inlineStr">
        <is>
          <t>Đồng bộ mỗi giờ; INV-23 đến INV-26; cần D-06 (tài khoản dịch vụ).</t>
        </is>
      </c>
    </row>
    <row r="45">
      <c r="A45" s="16" t="inlineStr">
        <is>
          <t>US-34</t>
        </is>
      </c>
      <c r="B45" s="17" t="inlineStr">
        <is>
          <t>Story</t>
        </is>
      </c>
      <c r="C45" s="10" t="inlineStr">
        <is>
          <t>EP-06 Cảnh báo</t>
        </is>
      </c>
      <c r="D45" s="10" t="inlineStr">
        <is>
          <t>Cảnh báo mất kết nối</t>
        </is>
      </c>
      <c r="E45" s="10" t="inlineStr">
        <is>
          <t>Là Technician, tôi muốn được báo khi camera mất kết nối, để xử lý trước khi mất dữ liệu.</t>
        </is>
      </c>
      <c r="F45" s="17" t="inlineStr">
        <is>
          <t>Must</t>
        </is>
      </c>
      <c r="G45" s="18" t="n">
        <v>5</v>
      </c>
      <c r="H45" s="18" t="inlineStr">
        <is>
          <t>S5</t>
        </is>
      </c>
      <c r="I45" s="10">
        <f>IFERROR(VLOOKUP(H45,'Kế hoạch sprint'!$A$5:$B$14,2,FALSE),"")</f>
        <v/>
      </c>
      <c r="J45" s="18" t="inlineStr">
        <is>
          <t>To Do</t>
        </is>
      </c>
      <c r="K45" s="10" t="inlineStr">
        <is>
          <t>US-04</t>
        </is>
      </c>
      <c r="L45" s="10" t="inlineStr">
        <is>
          <t>BR-31</t>
        </is>
      </c>
      <c r="M45" s="10" t="inlineStr">
        <is>
          <t>UC-50, UC-51</t>
        </is>
      </c>
      <c r="N45" s="10" t="inlineStr">
        <is>
          <t>alerts.html</t>
        </is>
      </c>
      <c r="O45" s="10" t="inlineStr">
        <is>
          <t>Core alerting (Bộ hẹn giờ); notification (Web, Email)</t>
        </is>
      </c>
      <c r="P45" s="10" t="inlineStr">
        <is>
          <t>Kịch bản: Sau thời gian chờ
  Giả sử thời gian chờ 5 phút
  Khi camera mất kết nối 6 phút
  Thì tạo cảnh báo CAMERA_OFFLINE và gửi cho người nhận
Kịch bản: Gộp theo địa điểm
  Giả sử bộ kết nối Kho Bắc Ninh mất kết nối
  Khi 7 camera cùng mất kết nối
  Thì chỉ tạo 1 cảnh báo SITE_OFFLINE
Kịch bản: Tự phục hồi
  Giả sử cảnh báo mất kết nối đang mở
  Khi camera kết nối lại
  Thì cảnh báo chuyển "Đã phục hồi"</t>
        </is>
      </c>
      <c r="Q45" s="19" t="n"/>
      <c r="R45" s="10" t="inlineStr">
        <is>
          <t>offlineDelayMinutes mặc định 5; gộp cấp địa điểm (SITE_OFFLINE); tự RECOVERED.</t>
        </is>
      </c>
    </row>
    <row r="46">
      <c r="A46" s="16" t="inlineStr">
        <is>
          <t>US-35</t>
        </is>
      </c>
      <c r="B46" s="17" t="inlineStr">
        <is>
          <t>Story</t>
        </is>
      </c>
      <c r="C46" s="10" t="inlineStr">
        <is>
          <t>EP-06 Cảnh báo</t>
        </is>
      </c>
      <c r="D46" s="10" t="inlineStr">
        <is>
          <t>Cảnh báo dung lượng lưu trữ</t>
        </is>
      </c>
      <c r="E46" s="10" t="inlineStr">
        <is>
          <t>Là Admin, tôi muốn được báo khi lưu trữ sắp đầy, để không bị dừng ghi.</t>
        </is>
      </c>
      <c r="F46" s="17" t="inlineStr">
        <is>
          <t>Must</t>
        </is>
      </c>
      <c r="G46" s="18" t="n">
        <v>2</v>
      </c>
      <c r="H46" s="18" t="inlineStr">
        <is>
          <t>S5</t>
        </is>
      </c>
      <c r="I46" s="10">
        <f>IFERROR(VLOOKUP(H46,'Kế hoạch sprint'!$A$5:$B$14,2,FALSE),"")</f>
        <v/>
      </c>
      <c r="J46" s="18" t="inlineStr">
        <is>
          <t>To Do</t>
        </is>
      </c>
      <c r="K46" s="10" t="inlineStr">
        <is>
          <t>US-16</t>
        </is>
      </c>
      <c r="L46" s="10" t="inlineStr">
        <is>
          <t>BR-37</t>
        </is>
      </c>
      <c r="M46" s="10" t="inlineStr">
        <is>
          <t>UC-50, UC-51</t>
        </is>
      </c>
      <c r="N46" s="10" t="inlineStr">
        <is>
          <t>alerts.html; system.html (Lưu trữ)</t>
        </is>
      </c>
      <c r="O46" s="10" t="inlineStr">
        <is>
          <t>Core recording (StorageVolume); alerting</t>
        </is>
      </c>
      <c r="P46" s="10" t="inlineStr">
        <is>
          <t>Kịch bản: Vượt ngưỡng
  Giả sử ngưỡng cảnh báo 85%
  Khi NAS-01 đạt 86%
  Thì tạo cảnh báo kèm dung lượng còn lại và số ngày ước tính</t>
        </is>
      </c>
      <c r="Q46" s="19" t="n"/>
      <c r="R46" s="10" t="inlineStr">
        <is>
          <t>Ngưỡng 85% và 95%; ước tính số ngày trước khi đầy.</t>
        </is>
      </c>
    </row>
    <row r="47">
      <c r="A47" s="16" t="inlineStr">
        <is>
          <t>US-36</t>
        </is>
      </c>
      <c r="B47" s="17" t="inlineStr">
        <is>
          <t>Story</t>
        </is>
      </c>
      <c r="C47" s="10" t="inlineStr">
        <is>
          <t>EP-06 Cảnh báo</t>
        </is>
      </c>
      <c r="D47" s="10" t="inlineStr">
        <is>
          <t>Cảnh báo chuyển động đa kênh</t>
        </is>
      </c>
      <c r="E47" s="10" t="inlineStr">
        <is>
          <t>Là Operator, tôi muốn nhận cảnh báo chuyển động qua web, email, Telegram và Zalo, để phản ứng kịp thời ngoài giờ.</t>
        </is>
      </c>
      <c r="F47" s="17" t="inlineStr">
        <is>
          <t>Should</t>
        </is>
      </c>
      <c r="G47" s="18" t="n">
        <v>8</v>
      </c>
      <c r="H47" s="18" t="inlineStr">
        <is>
          <t>S7</t>
        </is>
      </c>
      <c r="I47" s="10">
        <f>IFERROR(VLOOKUP(H47,'Kế hoạch sprint'!$A$5:$B$14,2,FALSE),"")</f>
        <v/>
      </c>
      <c r="J47" s="18" t="inlineStr">
        <is>
          <t>To Do</t>
        </is>
      </c>
      <c r="K47" s="10" t="inlineStr">
        <is>
          <t>US-34, US-26</t>
        </is>
      </c>
      <c r="L47" s="10" t="inlineStr">
        <is>
          <t>BR-32</t>
        </is>
      </c>
      <c r="M47" s="10" t="inlineStr">
        <is>
          <t>UC-50, UC-51, UC-53</t>
        </is>
      </c>
      <c r="N47" s="10" t="inlineStr">
        <is>
          <t>alerts.html (Quy tắc, Kênh nhận); system.html (Kênh thông báo)</t>
        </is>
      </c>
      <c r="O47" s="10" t="inlineStr">
        <is>
          <t>Device Gateway events (PullPoint); RabbitMQ; Core alerting, notification; Redis throttle; Media Worker snapshot</t>
        </is>
      </c>
      <c r="P47" s="10" t="inlineStr">
        <is>
          <t>Kịch bản: Trong khung giờ
  Giả sử quy tắc 22:00–06:00 cho Kho Bắc Ninh, kênh Telegram
  Khi camera Cổng sau báo chuyển động lúc 23:40
  Thì Lan nhận Telegram gồm tên camera, thời điểm, ảnh và liên kết
Kịch bản: Ngoài khung giờ
  Giả sử cùng quy tắc
  Khi có chuyển động lúc 10:00
  Thì không gửi thông báo
Kịch bản: Chống spam
  Giả sử chống spam 120 giây
  Khi camera báo chuyển động 3 lần trong 1 phút
  Thì chỉ gửi 1 thông báo; các sự kiện vẫn được đánh dấu trên timeline
Kịch bản: Camera không hỗ trợ
  Giả sử camera không có chức năng phát hiện chuyển động
  Khi tạo quy tắc chuyển động cho camera đó
  Thì tùy chọn bị ẩn kèm lý do</t>
        </is>
      </c>
      <c r="Q47" s="19" t="n"/>
      <c r="R47" s="10" t="inlineStr">
        <is>
          <t>motionSource = DEVICE; chống spam bằng SET NX EX; Zalo phụ thuộc OQ-P02.</t>
        </is>
      </c>
    </row>
    <row r="48">
      <c r="A48" s="16" t="inlineStr">
        <is>
          <t>US-37</t>
        </is>
      </c>
      <c r="B48" s="17" t="inlineStr">
        <is>
          <t>Story</t>
        </is>
      </c>
      <c r="C48" s="10" t="inlineStr">
        <is>
          <t>EP-06 Cảnh báo</t>
        </is>
      </c>
      <c r="D48" s="10" t="inlineStr">
        <is>
          <t>Xử lý và chuyển giao cảnh báo</t>
        </is>
      </c>
      <c r="E48" s="10" t="inlineStr">
        <is>
          <t>Là Operator, tôi muốn nhận, ghi chú, chuyển giao và đóng cảnh báo, để cả ca biết cảnh báo nào đã có người xử lý.</t>
        </is>
      </c>
      <c r="F48" s="17" t="inlineStr">
        <is>
          <t>Should</t>
        </is>
      </c>
      <c r="G48" s="18" t="n">
        <v>5</v>
      </c>
      <c r="H48" s="18" t="inlineStr">
        <is>
          <t>S7</t>
        </is>
      </c>
      <c r="I48" s="10">
        <f>IFERROR(VLOOKUP(H48,'Kế hoạch sprint'!$A$5:$B$14,2,FALSE),"")</f>
        <v/>
      </c>
      <c r="J48" s="18" t="inlineStr">
        <is>
          <t>To Do</t>
        </is>
      </c>
      <c r="K48" s="10" t="inlineStr">
        <is>
          <t>US-34</t>
        </is>
      </c>
      <c r="L48" s="10" t="inlineStr">
        <is>
          <t>BR-33</t>
        </is>
      </c>
      <c r="M48" s="10" t="inlineStr">
        <is>
          <t>UC-52</t>
        </is>
      </c>
      <c r="N48" s="10" t="inlineStr">
        <is>
          <t>alerts.html</t>
        </is>
      </c>
      <c r="O48" s="10" t="inlineStr">
        <is>
          <t>Core alerting (Alert, AlertStatusChange, AlertHandover)</t>
        </is>
      </c>
      <c r="P48" s="10" t="inlineStr">
        <is>
          <t>Kịch bản: Nhận xử lý
  Giả sử cảnh báo ở trạng thái Mới
  Khi Lan bấm "Nhận xử lý"
  Thì trạng thái Đang xử lý, phụ trách là Lan
Kịch bản: Chuyển giao
  Giả sử Lan đang xử lý cảnh báo
  Khi Lan chuyển giao cho Minh kèm lý do
  Thì Minh thành người phụ trách và nhận thông báo
  Và lịch sử ghi lần chuyển giao
Kịch bản: Đóng bắt buộc kết quả
  Giả sử cảnh báo đang xử lý
  Khi đóng mà không chọn kết quả
  Thì hệ thống không cho đóng</t>
        </is>
      </c>
      <c r="Q48" s="19" t="n"/>
      <c r="R48" s="10" t="inlineStr">
        <is>
          <t>INV-14, INV-28; lịch sử trạng thái và chuyển giao.</t>
        </is>
      </c>
    </row>
    <row r="49">
      <c r="A49" s="16" t="inlineStr">
        <is>
          <t>US-38</t>
        </is>
      </c>
      <c r="B49" s="17" t="inlineStr">
        <is>
          <t>Story</t>
        </is>
      </c>
      <c r="C49" s="10" t="inlineStr">
        <is>
          <t>EP-06 Cảnh báo</t>
        </is>
      </c>
      <c r="D49" s="10" t="inlineStr">
        <is>
          <t>Mở xem lại từ cảnh báo</t>
        </is>
      </c>
      <c r="E49" s="10" t="inlineStr">
        <is>
          <t>Là Operator, tôi muốn mở ngay video tại thời điểm cảnh báo, để xác minh trong vài giây.</t>
        </is>
      </c>
      <c r="F49" s="17" t="inlineStr">
        <is>
          <t>Should</t>
        </is>
      </c>
      <c r="G49" s="18" t="n">
        <v>2</v>
      </c>
      <c r="H49" s="18" t="inlineStr">
        <is>
          <t>S7</t>
        </is>
      </c>
      <c r="I49" s="10">
        <f>IFERROR(VLOOKUP(H49,'Kế hoạch sprint'!$A$5:$B$14,2,FALSE),"")</f>
        <v/>
      </c>
      <c r="J49" s="18" t="inlineStr">
        <is>
          <t>To Do</t>
        </is>
      </c>
      <c r="K49" s="10" t="inlineStr">
        <is>
          <t>US-17, US-37</t>
        </is>
      </c>
      <c r="L49" s="10" t="inlineStr">
        <is>
          <t>BR-38</t>
        </is>
      </c>
      <c r="M49" s="10" t="inlineStr">
        <is>
          <t>UC-52, UC-31</t>
        </is>
      </c>
      <c r="N49" s="10" t="inlineStr">
        <is>
          <t>alerts.html → playback.html</t>
        </is>
      </c>
      <c r="O49" s="10" t="inlineStr">
        <is>
          <t>Web; Core recording</t>
        </is>
      </c>
      <c r="P49" s="10" t="inlineStr">
        <is>
          <t>Kịch bản: Xem lại từ cảnh báo
  Giả sử cảnh báo lúc 23:40:05
  Khi Operator bấm "Xem lại"
  Thì video phát từ 23:39:55
  Và có nút chuyển sang xem trực tiếp</t>
        </is>
      </c>
      <c r="Q49" s="19" t="n"/>
      <c r="R49" s="10" t="inlineStr">
        <is>
          <t>Bắt đầu tại thời điểm cảnh báo trừ 10 giây.</t>
        </is>
      </c>
    </row>
    <row r="50">
      <c r="A50" s="16" t="inlineStr">
        <is>
          <t>US-39</t>
        </is>
      </c>
      <c r="B50" s="17" t="inlineStr">
        <is>
          <t>Story</t>
        </is>
      </c>
      <c r="C50" s="10" t="inlineStr">
        <is>
          <t>EP-07 Nền tảng và sẵn sàng SaaS</t>
        </is>
      </c>
      <c r="D50" s="10" t="inlineStr">
        <is>
          <t>Bảng tổng quan hệ thống</t>
        </is>
      </c>
      <c r="E50" s="10" t="inlineStr">
        <is>
          <t>Là Admin, tôi muốn xem sức khỏe hệ thống, để phát hiện sớm vấn đề.</t>
        </is>
      </c>
      <c r="F50" s="17" t="inlineStr">
        <is>
          <t>Must</t>
        </is>
      </c>
      <c r="G50" s="18" t="n">
        <v>3</v>
      </c>
      <c r="H50" s="18" t="inlineStr">
        <is>
          <t>S5</t>
        </is>
      </c>
      <c r="I50" s="10">
        <f>IFERROR(VLOOKUP(H50,'Kế hoạch sprint'!$A$5:$B$14,2,FALSE),"")</f>
        <v/>
      </c>
      <c r="J50" s="18" t="inlineStr">
        <is>
          <t>To Do</t>
        </is>
      </c>
      <c r="K50" s="10" t="inlineStr">
        <is>
          <t>US-04, US-35</t>
        </is>
      </c>
      <c r="L50" s="10" t="inlineStr">
        <is>
          <t>NFR-04</t>
        </is>
      </c>
      <c r="M50" s="10" t="inlineStr">
        <is>
          <t>UC-60</t>
        </is>
      </c>
      <c r="N50" s="10" t="inlineStr">
        <is>
          <t>dashboard.html</t>
        </is>
      </c>
      <c r="O50" s="10" t="inlineStr">
        <is>
          <t>Core platform; /system/overview</t>
        </is>
      </c>
      <c r="P50" s="10" t="inlineStr">
        <is>
          <t>Kịch bản: Hiển thị chỉ số
  Giả sử 14/16 camera trực tuyến và 3 cảnh báo mở
  Khi Admin mở Tổng quan
  Thì thấy "14 / 16" và "3" cùng danh sách camera mất kết nối</t>
        </is>
      </c>
      <c r="Q50" s="19" t="n"/>
      <c r="R50" s="10" t="inlineStr">
        <is>
          <t>Camera trực tuyến, lưu trữ, cảnh báo mở, bộ kết nối, sao lưu gần nhất.</t>
        </is>
      </c>
    </row>
    <row r="51">
      <c r="A51" s="16" t="inlineStr">
        <is>
          <t>US-40</t>
        </is>
      </c>
      <c r="B51" s="17" t="inlineStr">
        <is>
          <t>Story</t>
        </is>
      </c>
      <c r="C51" s="10" t="inlineStr">
        <is>
          <t>EP-07 Nền tảng và sẵn sàng SaaS</t>
        </is>
      </c>
      <c r="D51" s="10" t="inlineStr">
        <is>
          <t>Sao lưu và khôi phục</t>
        </is>
      </c>
      <c r="E51" s="10" t="inlineStr">
        <is>
          <t>Là Đội vận hành IT, tôi muốn hệ thống sao lưu tự động và có runbook khôi phục, để khôi phục được khi có sự cố.</t>
        </is>
      </c>
      <c r="F51" s="17" t="inlineStr">
        <is>
          <t>Must</t>
        </is>
      </c>
      <c r="G51" s="18" t="n">
        <v>5</v>
      </c>
      <c r="H51" s="18" t="inlineStr">
        <is>
          <t>S5</t>
        </is>
      </c>
      <c r="I51" s="10">
        <f>IFERROR(VLOOKUP(H51,'Kế hoạch sprint'!$A$5:$B$14,2,FALSE),"")</f>
        <v/>
      </c>
      <c r="J51" s="18" t="inlineStr">
        <is>
          <t>To Do</t>
        </is>
      </c>
      <c r="K51" s="10" t="inlineStr">
        <is>
          <t>TS-02</t>
        </is>
      </c>
      <c r="L51" s="10" t="inlineStr">
        <is>
          <t>NFR-10, NFR-11</t>
        </is>
      </c>
      <c r="M51" s="10" t="inlineStr">
        <is>
          <t>UC-61, UC-62</t>
        </is>
      </c>
      <c r="N51" s="10" t="inlineStr">
        <is>
          <t>system.html (Sao lưu, chỉ xem)</t>
        </is>
      </c>
      <c r="O51" s="10" t="inlineStr">
        <is>
          <t>pgBackRest; SADD 3.12.3</t>
        </is>
      </c>
      <c r="P51" s="10" t="inlineStr">
        <is>
          <t>Kịch bản: Sao lưu định kỳ
  Giả sử hệ thống đang chạy
  Khi mỗi giờ
  Thì có bản sao lưu mới và giữ ≥ 30 bản
Kịch bản: Diễn tập khôi phục
  Giả sử máy chủ ứng dụng bị hỏng
  Khi đội vận hành IT làm theo runbook
  Thì hệ thống hoạt động lại trong ≤ 4 giờ, mất tối đa 1 giờ dữ liệu
Kịch bản: Admin không khôi phục được
  Giả sử Admin của tổ chức
  Khi mở tab Sao lưu
  Thì chỉ thấy trạng thái, không có nút khôi phục</t>
        </is>
      </c>
      <c r="Q51" s="19" t="n"/>
      <c r="R51" s="10" t="inlineStr">
        <is>
          <t>Khôi phục chỉ do đội vận hành IT (UCQ-03); giao diện Admin chỉ xem trạng thái.</t>
        </is>
      </c>
    </row>
    <row r="52">
      <c r="A52" s="16" t="inlineStr">
        <is>
          <t>US-41</t>
        </is>
      </c>
      <c r="B52" s="17" t="inlineStr">
        <is>
          <t>Story</t>
        </is>
      </c>
      <c r="C52" s="10" t="inlineStr">
        <is>
          <t>EP-07 Nền tảng và sẵn sàng SaaS</t>
        </is>
      </c>
      <c r="D52" s="10" t="inlineStr">
        <is>
          <t>Đa ngôn ngữ và responsive</t>
        </is>
      </c>
      <c r="E52" s="10" t="inlineStr">
        <is>
          <t>Là Người dùng, tôi muốn dùng giao diện tiếng Việt hoặc tiếng Anh trên mọi màn hình, để làm việc thuận tiện.</t>
        </is>
      </c>
      <c r="F52" s="17" t="inlineStr">
        <is>
          <t>Must</t>
        </is>
      </c>
      <c r="G52" s="18" t="n">
        <v>3</v>
      </c>
      <c r="H52" s="18" t="inlineStr">
        <is>
          <t>S1</t>
        </is>
      </c>
      <c r="I52" s="10">
        <f>IFERROR(VLOOKUP(H52,'Kế hoạch sprint'!$A$5:$B$14,2,FALSE),"")</f>
        <v/>
      </c>
      <c r="J52" s="18" t="inlineStr">
        <is>
          <t>To Do</t>
        </is>
      </c>
      <c r="K52" s="10" t="inlineStr">
        <is>
          <t>TS-01</t>
        </is>
      </c>
      <c r="L52" s="10" t="inlineStr">
        <is>
          <t>NFR-07</t>
        </is>
      </c>
      <c r="M52" s="10" t="inlineStr">
        <is>
          <t>UC-63</t>
        </is>
      </c>
      <c r="N52" s="10" t="inlineStr">
        <is>
          <t>Mọi màn hình</t>
        </is>
      </c>
      <c r="O52" s="10" t="inlineStr">
        <is>
          <t>Web vue-i18n</t>
        </is>
      </c>
      <c r="P52" s="10" t="inlineStr">
        <is>
          <t>Kịch bản: Đổi ngôn ngữ
  Giả sử người dùng đang dùng tiếng Việt
  Khi chọn English trong hồ sơ
  Thì toàn bộ giao diện chuyển sang tiếng Anh
Kịch bản: Màn hình điện thoại
  Giả sử màn hình rộng 360px
  Khi mở Xem trực tiếp
  Thì không có cuộn ngang và lưới tối đa 4 ô</t>
        </is>
      </c>
      <c r="Q52" s="19" t="n"/>
      <c r="R52" s="10" t="inlineStr">
        <is>
          <t>Thiết lập khung i18n và responsive từ S1; mỗi story sau tự đáp ứng (DoD).</t>
        </is>
      </c>
    </row>
    <row r="53">
      <c r="A53" s="16" t="inlineStr">
        <is>
          <t>US-42</t>
        </is>
      </c>
      <c r="B53" s="17" t="inlineStr">
        <is>
          <t>Story</t>
        </is>
      </c>
      <c r="C53" s="10" t="inlineStr">
        <is>
          <t>EP-07 Nền tảng và sẵn sàng SaaS</t>
        </is>
      </c>
      <c r="D53" s="10" t="inlineStr">
        <is>
          <t>Trung tâm thông báo trên web</t>
        </is>
      </c>
      <c r="E53" s="10" t="inlineStr">
        <is>
          <t>Là Operator, tôi muốn thấy cảnh báo mới ngay trên web, để không bỏ sót khi đang xem camera.</t>
        </is>
      </c>
      <c r="F53" s="17" t="inlineStr">
        <is>
          <t>Should</t>
        </is>
      </c>
      <c r="G53" s="18" t="n">
        <v>3</v>
      </c>
      <c r="H53" s="18" t="inlineStr">
        <is>
          <t>S7</t>
        </is>
      </c>
      <c r="I53" s="10">
        <f>IFERROR(VLOOKUP(H53,'Kế hoạch sprint'!$A$5:$B$14,2,FALSE),"")</f>
        <v/>
      </c>
      <c r="J53" s="18" t="inlineStr">
        <is>
          <t>To Do</t>
        </is>
      </c>
      <c r="K53" s="10" t="inlineStr">
        <is>
          <t>US-34</t>
        </is>
      </c>
      <c r="L53" s="10" t="inlineStr">
        <is>
          <t>BR-32</t>
        </is>
      </c>
      <c r="M53" s="10" t="inlineStr">
        <is>
          <t>UC-51, UC-52</t>
        </is>
      </c>
      <c r="N53" s="10" t="inlineStr">
        <is>
          <t>Thanh trên cùng (chuông); alerts.html</t>
        </is>
      </c>
      <c r="O53" s="10" t="inlineStr">
        <is>
          <t>WebSocket /user/queue/alerts</t>
        </is>
      </c>
      <c r="P53" s="10" t="inlineStr">
        <is>
          <t>Kịch bản: Cảnh báo mới
  Giả sử Operator đang ở màn hình Xem trực tiếp
  Khi có cảnh báo mới trong phạm vi của Operator
  Thì chuông tăng số đếm và hiện toast kèm liên kết</t>
        </is>
      </c>
      <c r="Q53" s="19" t="n"/>
      <c r="R53" s="10" t="inlineStr">
        <is>
          <t>Toast + âm báo bật/tắt được.</t>
        </is>
      </c>
    </row>
  </sheetData>
  <autoFilter ref="A1:R53"/>
  <conditionalFormatting sqref="J2:J53">
    <cfRule type="cellIs" priority="1" operator="equal" dxfId="1">
      <formula>"Done"</formula>
    </cfRule>
    <cfRule type="cellIs" priority="2" operator="equal" dxfId="2">
      <formula>"In Progress"</formula>
    </cfRule>
    <cfRule type="cellIs" priority="3" operator="equal" dxfId="3">
      <formula>"In Review"</formula>
    </cfRule>
    <cfRule type="cellIs" priority="4" operator="equal" dxfId="0">
      <formula>"Blocked"</formula>
    </cfRule>
  </conditionalFormatting>
  <dataValidations count="3">
    <dataValidation sqref="J2:J53" showDropDown="0" showInputMessage="0" showErrorMessage="0" allowBlank="0" type="list">
      <formula1>"To Do,In Progress,In Review,Done,Blocked"</formula1>
    </dataValidation>
    <dataValidation sqref="H2:H53" showDropDown="0" showInputMessage="0" showErrorMessage="0" allowBlank="1" type="list">
      <formula1>"S0,S1,S2,S3,S4,S5,S6,S7,S8,S9,Backlog"</formula1>
    </dataValidation>
    <dataValidation sqref="G2:G53" showDropDown="0" showInputMessage="0" showErrorMessage="0" allowBlank="1" type="list">
      <formula1>"1,2,3,5,8,13"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cols>
    <col width="40" customWidth="1" min="1" max="1"/>
    <col width="9" customWidth="1" min="2" max="2"/>
    <col width="11" customWidth="1" min="3" max="3"/>
    <col width="9" customWidth="1" min="4" max="4"/>
    <col width="9" customWidth="1" min="5" max="5"/>
    <col width="9" customWidth="1" min="6" max="6"/>
    <col width="11" customWidth="1" min="7" max="7"/>
    <col width="10" customWidth="1" min="8" max="8"/>
  </cols>
  <sheetData>
    <row r="1">
      <c r="A1" s="8" t="inlineStr">
        <is>
          <t>Epic</t>
        </is>
      </c>
      <c r="B1" s="8" t="inlineStr">
        <is>
          <t>Số item</t>
        </is>
      </c>
      <c r="C1" s="8" t="inlineStr">
        <is>
          <t>Tổng điểm</t>
        </is>
      </c>
      <c r="D1" s="8" t="inlineStr">
        <is>
          <t>Must</t>
        </is>
      </c>
      <c r="E1" s="8" t="inlineStr">
        <is>
          <t>Should</t>
        </is>
      </c>
      <c r="F1" s="8" t="inlineStr">
        <is>
          <t>Could</t>
        </is>
      </c>
      <c r="G1" s="8" t="inlineStr">
        <is>
          <t>Điểm Done</t>
        </is>
      </c>
      <c r="H1" s="8" t="inlineStr">
        <is>
          <t>Tiến độ</t>
        </is>
      </c>
    </row>
    <row r="2">
      <c r="A2" s="20" t="inlineStr">
        <is>
          <t>EP-00 Nền tảng kỹ thuật (enabler)</t>
        </is>
      </c>
      <c r="B2" s="21">
        <f>COUNTIFS(Backlog!$C$2:$C$53,A2)</f>
        <v/>
      </c>
      <c r="C2" s="21">
        <f>SUMIFS(Backlog!$G$2:$G$53,Backlog!$C$2:$C$53,A2)</f>
        <v/>
      </c>
      <c r="D2" s="21">
        <f>SUMIFS(Backlog!$G$2:$G$53,Backlog!$C$2:$C$53,A2,Backlog!$F$2:$F$53,"Must")</f>
        <v/>
      </c>
      <c r="E2" s="21">
        <f>SUMIFS(Backlog!$G$2:$G$53,Backlog!$C$2:$C$53,A2,Backlog!$F$2:$F$53,"Should")</f>
        <v/>
      </c>
      <c r="F2" s="21">
        <f>SUMIFS(Backlog!$G$2:$G$53,Backlog!$C$2:$C$53,A2,Backlog!$F$2:$F$53,"Could")</f>
        <v/>
      </c>
      <c r="G2" s="21">
        <f>SUMIFS(Backlog!$G$2:$G$53,Backlog!$C$2:$C$53,A2,Backlog!$J$2:$J$53,"Done")</f>
        <v/>
      </c>
      <c r="H2" s="22">
        <f>IF(C2=0,"-",G2/C2)</f>
        <v/>
      </c>
    </row>
    <row r="3">
      <c r="A3" s="20" t="inlineStr">
        <is>
          <t>EP-01 Kết nối và quản lý camera</t>
        </is>
      </c>
      <c r="B3" s="21">
        <f>COUNTIFS(Backlog!$C$2:$C$53,A3)</f>
        <v/>
      </c>
      <c r="C3" s="21">
        <f>SUMIFS(Backlog!$G$2:$G$53,Backlog!$C$2:$C$53,A3)</f>
        <v/>
      </c>
      <c r="D3" s="21">
        <f>SUMIFS(Backlog!$G$2:$G$53,Backlog!$C$2:$C$53,A3,Backlog!$F$2:$F$53,"Must")</f>
        <v/>
      </c>
      <c r="E3" s="21">
        <f>SUMIFS(Backlog!$G$2:$G$53,Backlog!$C$2:$C$53,A3,Backlog!$F$2:$F$53,"Should")</f>
        <v/>
      </c>
      <c r="F3" s="21">
        <f>SUMIFS(Backlog!$G$2:$G$53,Backlog!$C$2:$C$53,A3,Backlog!$F$2:$F$53,"Could")</f>
        <v/>
      </c>
      <c r="G3" s="21">
        <f>SUMIFS(Backlog!$G$2:$G$53,Backlog!$C$2:$C$53,A3,Backlog!$J$2:$J$53,"Done")</f>
        <v/>
      </c>
      <c r="H3" s="22">
        <f>IF(C3=0,"-",G3/C3)</f>
        <v/>
      </c>
    </row>
    <row r="4">
      <c r="A4" s="20" t="inlineStr">
        <is>
          <t>EP-02 Xem trực tiếp</t>
        </is>
      </c>
      <c r="B4" s="21">
        <f>COUNTIFS(Backlog!$C$2:$C$53,A4)</f>
        <v/>
      </c>
      <c r="C4" s="21">
        <f>SUMIFS(Backlog!$G$2:$G$53,Backlog!$C$2:$C$53,A4)</f>
        <v/>
      </c>
      <c r="D4" s="21">
        <f>SUMIFS(Backlog!$G$2:$G$53,Backlog!$C$2:$C$53,A4,Backlog!$F$2:$F$53,"Must")</f>
        <v/>
      </c>
      <c r="E4" s="21">
        <f>SUMIFS(Backlog!$G$2:$G$53,Backlog!$C$2:$C$53,A4,Backlog!$F$2:$F$53,"Should")</f>
        <v/>
      </c>
      <c r="F4" s="21">
        <f>SUMIFS(Backlog!$G$2:$G$53,Backlog!$C$2:$C$53,A4,Backlog!$F$2:$F$53,"Could")</f>
        <v/>
      </c>
      <c r="G4" s="21">
        <f>SUMIFS(Backlog!$G$2:$G$53,Backlog!$C$2:$C$53,A4,Backlog!$J$2:$J$53,"Done")</f>
        <v/>
      </c>
      <c r="H4" s="22">
        <f>IF(C4=0,"-",G4/C4)</f>
        <v/>
      </c>
    </row>
    <row r="5">
      <c r="A5" s="20" t="inlineStr">
        <is>
          <t>EP-03 Ghi hình và xem lại</t>
        </is>
      </c>
      <c r="B5" s="21">
        <f>COUNTIFS(Backlog!$C$2:$C$53,A5)</f>
        <v/>
      </c>
      <c r="C5" s="21">
        <f>SUMIFS(Backlog!$G$2:$G$53,Backlog!$C$2:$C$53,A5)</f>
        <v/>
      </c>
      <c r="D5" s="21">
        <f>SUMIFS(Backlog!$G$2:$G$53,Backlog!$C$2:$C$53,A5,Backlog!$F$2:$F$53,"Must")</f>
        <v/>
      </c>
      <c r="E5" s="21">
        <f>SUMIFS(Backlog!$G$2:$G$53,Backlog!$C$2:$C$53,A5,Backlog!$F$2:$F$53,"Should")</f>
        <v/>
      </c>
      <c r="F5" s="21">
        <f>SUMIFS(Backlog!$G$2:$G$53,Backlog!$C$2:$C$53,A5,Backlog!$F$2:$F$53,"Could")</f>
        <v/>
      </c>
      <c r="G5" s="21">
        <f>SUMIFS(Backlog!$G$2:$G$53,Backlog!$C$2:$C$53,A5,Backlog!$J$2:$J$53,"Done")</f>
        <v/>
      </c>
      <c r="H5" s="22">
        <f>IF(C5=0,"-",G5/C5)</f>
        <v/>
      </c>
    </row>
    <row r="6">
      <c r="A6" s="20" t="inlineStr">
        <is>
          <t>EP-04 Cấu hình camera</t>
        </is>
      </c>
      <c r="B6" s="21">
        <f>COUNTIFS(Backlog!$C$2:$C$53,A6)</f>
        <v/>
      </c>
      <c r="C6" s="21">
        <f>SUMIFS(Backlog!$G$2:$G$53,Backlog!$C$2:$C$53,A6)</f>
        <v/>
      </c>
      <c r="D6" s="21">
        <f>SUMIFS(Backlog!$G$2:$G$53,Backlog!$C$2:$C$53,A6,Backlog!$F$2:$F$53,"Must")</f>
        <v/>
      </c>
      <c r="E6" s="21">
        <f>SUMIFS(Backlog!$G$2:$G$53,Backlog!$C$2:$C$53,A6,Backlog!$F$2:$F$53,"Should")</f>
        <v/>
      </c>
      <c r="F6" s="21">
        <f>SUMIFS(Backlog!$G$2:$G$53,Backlog!$C$2:$C$53,A6,Backlog!$F$2:$F$53,"Could")</f>
        <v/>
      </c>
      <c r="G6" s="21">
        <f>SUMIFS(Backlog!$G$2:$G$53,Backlog!$C$2:$C$53,A6,Backlog!$J$2:$J$53,"Done")</f>
        <v/>
      </c>
      <c r="H6" s="22">
        <f>IF(C6=0,"-",G6/C6)</f>
        <v/>
      </c>
    </row>
    <row r="7">
      <c r="A7" s="20" t="inlineStr">
        <is>
          <t>EP-05 Người dùng, phân quyền, nhật ký</t>
        </is>
      </c>
      <c r="B7" s="21">
        <f>COUNTIFS(Backlog!$C$2:$C$53,A7)</f>
        <v/>
      </c>
      <c r="C7" s="21">
        <f>SUMIFS(Backlog!$G$2:$G$53,Backlog!$C$2:$C$53,A7)</f>
        <v/>
      </c>
      <c r="D7" s="21">
        <f>SUMIFS(Backlog!$G$2:$G$53,Backlog!$C$2:$C$53,A7,Backlog!$F$2:$F$53,"Must")</f>
        <v/>
      </c>
      <c r="E7" s="21">
        <f>SUMIFS(Backlog!$G$2:$G$53,Backlog!$C$2:$C$53,A7,Backlog!$F$2:$F$53,"Should")</f>
        <v/>
      </c>
      <c r="F7" s="21">
        <f>SUMIFS(Backlog!$G$2:$G$53,Backlog!$C$2:$C$53,A7,Backlog!$F$2:$F$53,"Could")</f>
        <v/>
      </c>
      <c r="G7" s="21">
        <f>SUMIFS(Backlog!$G$2:$G$53,Backlog!$C$2:$C$53,A7,Backlog!$J$2:$J$53,"Done")</f>
        <v/>
      </c>
      <c r="H7" s="22">
        <f>IF(C7=0,"-",G7/C7)</f>
        <v/>
      </c>
    </row>
    <row r="8">
      <c r="A8" s="20" t="inlineStr">
        <is>
          <t>EP-06 Cảnh báo</t>
        </is>
      </c>
      <c r="B8" s="21">
        <f>COUNTIFS(Backlog!$C$2:$C$53,A8)</f>
        <v/>
      </c>
      <c r="C8" s="21">
        <f>SUMIFS(Backlog!$G$2:$G$53,Backlog!$C$2:$C$53,A8)</f>
        <v/>
      </c>
      <c r="D8" s="21">
        <f>SUMIFS(Backlog!$G$2:$G$53,Backlog!$C$2:$C$53,A8,Backlog!$F$2:$F$53,"Must")</f>
        <v/>
      </c>
      <c r="E8" s="21">
        <f>SUMIFS(Backlog!$G$2:$G$53,Backlog!$C$2:$C$53,A8,Backlog!$F$2:$F$53,"Should")</f>
        <v/>
      </c>
      <c r="F8" s="21">
        <f>SUMIFS(Backlog!$G$2:$G$53,Backlog!$C$2:$C$53,A8,Backlog!$F$2:$F$53,"Could")</f>
        <v/>
      </c>
      <c r="G8" s="21">
        <f>SUMIFS(Backlog!$G$2:$G$53,Backlog!$C$2:$C$53,A8,Backlog!$J$2:$J$53,"Done")</f>
        <v/>
      </c>
      <c r="H8" s="22">
        <f>IF(C8=0,"-",G8/C8)</f>
        <v/>
      </c>
    </row>
    <row r="9">
      <c r="A9" s="20" t="inlineStr">
        <is>
          <t>EP-07 Nền tảng và sẵn sàng SaaS</t>
        </is>
      </c>
      <c r="B9" s="21">
        <f>COUNTIFS(Backlog!$C$2:$C$53,A9)</f>
        <v/>
      </c>
      <c r="C9" s="21">
        <f>SUMIFS(Backlog!$G$2:$G$53,Backlog!$C$2:$C$53,A9)</f>
        <v/>
      </c>
      <c r="D9" s="21">
        <f>SUMIFS(Backlog!$G$2:$G$53,Backlog!$C$2:$C$53,A9,Backlog!$F$2:$F$53,"Must")</f>
        <v/>
      </c>
      <c r="E9" s="21">
        <f>SUMIFS(Backlog!$G$2:$G$53,Backlog!$C$2:$C$53,A9,Backlog!$F$2:$F$53,"Should")</f>
        <v/>
      </c>
      <c r="F9" s="21">
        <f>SUMIFS(Backlog!$G$2:$G$53,Backlog!$C$2:$C$53,A9,Backlog!$F$2:$F$53,"Could")</f>
        <v/>
      </c>
      <c r="G9" s="21">
        <f>SUMIFS(Backlog!$G$2:$G$53,Backlog!$C$2:$C$53,A9,Backlog!$J$2:$J$53,"Done")</f>
        <v/>
      </c>
      <c r="H9" s="22">
        <f>IF(C9=0,"-",G9/C9)</f>
        <v/>
      </c>
    </row>
    <row r="10">
      <c r="A10" s="23" t="inlineStr">
        <is>
          <t>Tổng</t>
        </is>
      </c>
      <c r="B10" s="23">
        <f>SUM(B2:B9)</f>
        <v/>
      </c>
      <c r="C10" s="23">
        <f>SUM(C2:C9)</f>
        <v/>
      </c>
      <c r="D10" s="23">
        <f>SUM(D2:D9)</f>
        <v/>
      </c>
      <c r="E10" s="23">
        <f>SUM(E2:E9)</f>
        <v/>
      </c>
      <c r="F10" s="23">
        <f>SUM(F2:F9)</f>
        <v/>
      </c>
      <c r="G10" s="23">
        <f>SUM(G2:G9)</f>
        <v/>
      </c>
      <c r="H10" s="24">
        <f>IF(C10=0,"-",G10/C10)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showGridLines="0" workbookViewId="0">
      <selection activeCell="A1" sqref="A1"/>
    </sheetView>
  </sheetViews>
  <sheetFormatPr baseColWidth="8" defaultRowHeight="15"/>
  <cols>
    <col width="22" customWidth="1" min="1" max="1"/>
    <col width="10" customWidth="1" min="2" max="2"/>
    <col width="9" customWidth="1" min="3" max="3"/>
    <col width="14" customWidth="1" min="4" max="4"/>
    <col width="10" customWidth="1" min="5" max="5"/>
    <col width="11" customWidth="1" min="6" max="6"/>
    <col width="10" customWidth="1" min="7" max="7"/>
  </cols>
  <sheetData>
    <row r="1">
      <c r="A1" s="8" t="inlineStr">
        <is>
          <t>Mốc</t>
        </is>
      </c>
      <c r="B1" s="8" t="inlineStr">
        <is>
          <t>Số sprint</t>
        </is>
      </c>
      <c r="C1" s="8" t="inlineStr">
        <is>
          <t>Số tuần</t>
        </is>
      </c>
      <c r="D1" s="8" t="inlineStr">
        <is>
          <t>Điểm kế hoạch</t>
        </is>
      </c>
      <c r="E1" s="8" t="inlineStr">
        <is>
          <t>Năng lực</t>
        </is>
      </c>
      <c r="F1" s="8" t="inlineStr">
        <is>
          <t>Điểm Done</t>
        </is>
      </c>
      <c r="G1" s="8" t="inlineStr">
        <is>
          <t>Tiến độ</t>
        </is>
      </c>
    </row>
    <row r="2">
      <c r="A2" s="20" t="inlineStr">
        <is>
          <t>M0 – PoC &amp; nền tảng</t>
        </is>
      </c>
      <c r="B2" s="21">
        <f>COUNTIFS('Kế hoạch sprint'!$B$5:$B$14,A2)</f>
        <v/>
      </c>
      <c r="C2" s="21">
        <f>B2*2</f>
        <v/>
      </c>
      <c r="D2" s="21">
        <f>SUMIFS(Backlog!$G$2:$G$53,Backlog!$I$2:$I$53,A2)</f>
        <v/>
      </c>
      <c r="E2" s="21">
        <f>SUMIFS('Kế hoạch sprint'!$D$5:$D$14,'Kế hoạch sprint'!$B$5:$B$14,A2)</f>
        <v/>
      </c>
      <c r="F2" s="21">
        <f>SUMIFS(Backlog!$G$2:$G$53,Backlog!$I$2:$I$53,A2,Backlog!$J$2:$J$53,"Done")</f>
        <v/>
      </c>
      <c r="G2" s="22">
        <f>IF(D2=0,"-",F2/D2)</f>
        <v/>
      </c>
    </row>
    <row r="3">
      <c r="A3" s="20" t="inlineStr">
        <is>
          <t>M1 – Alpha</t>
        </is>
      </c>
      <c r="B3" s="21">
        <f>COUNTIFS('Kế hoạch sprint'!$B$5:$B$14,A3)</f>
        <v/>
      </c>
      <c r="C3" s="21">
        <f>B3*2</f>
        <v/>
      </c>
      <c r="D3" s="21">
        <f>SUMIFS(Backlog!$G$2:$G$53,Backlog!$I$2:$I$53,A3)</f>
        <v/>
      </c>
      <c r="E3" s="21">
        <f>SUMIFS('Kế hoạch sprint'!$D$5:$D$14,'Kế hoạch sprint'!$B$5:$B$14,A3)</f>
        <v/>
      </c>
      <c r="F3" s="21">
        <f>SUMIFS(Backlog!$G$2:$G$53,Backlog!$I$2:$I$53,A3,Backlog!$J$2:$J$53,"Done")</f>
        <v/>
      </c>
      <c r="G3" s="22">
        <f>IF(D3=0,"-",F3/D3)</f>
        <v/>
      </c>
    </row>
    <row r="4">
      <c r="A4" s="20" t="inlineStr">
        <is>
          <t>M2 – Beta pilot</t>
        </is>
      </c>
      <c r="B4" s="21">
        <f>COUNTIFS('Kế hoạch sprint'!$B$5:$B$14,A4)</f>
        <v/>
      </c>
      <c r="C4" s="21">
        <f>B4*2</f>
        <v/>
      </c>
      <c r="D4" s="21">
        <f>SUMIFS(Backlog!$G$2:$G$53,Backlog!$I$2:$I$53,A4)</f>
        <v/>
      </c>
      <c r="E4" s="21">
        <f>SUMIFS('Kế hoạch sprint'!$D$5:$D$14,'Kế hoạch sprint'!$B$5:$B$14,A4)</f>
        <v/>
      </c>
      <c r="F4" s="21">
        <f>SUMIFS(Backlog!$G$2:$G$53,Backlog!$I$2:$I$53,A4,Backlog!$J$2:$J$53,"Done")</f>
        <v/>
      </c>
      <c r="G4" s="22">
        <f>IF(D4=0,"-",F4/D4)</f>
        <v/>
      </c>
    </row>
    <row r="5">
      <c r="A5" s="20" t="inlineStr">
        <is>
          <t>M3 – GA</t>
        </is>
      </c>
      <c r="B5" s="21">
        <f>COUNTIFS('Kế hoạch sprint'!$B$5:$B$14,A5)</f>
        <v/>
      </c>
      <c r="C5" s="21">
        <f>B5*2</f>
        <v/>
      </c>
      <c r="D5" s="21">
        <f>SUMIFS(Backlog!$G$2:$G$53,Backlog!$I$2:$I$53,A5)</f>
        <v/>
      </c>
      <c r="E5" s="21">
        <f>SUMIFS('Kế hoạch sprint'!$D$5:$D$14,'Kế hoạch sprint'!$B$5:$B$14,A5)</f>
        <v/>
      </c>
      <c r="F5" s="21">
        <f>SUMIFS(Backlog!$G$2:$G$53,Backlog!$I$2:$I$53,A5,Backlog!$J$2:$J$53,"Done")</f>
        <v/>
      </c>
      <c r="G5" s="22">
        <f>IF(D5=0,"-",F5/D5)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2026-10-23T13:09:57Z</dcterms:created>
  <dcterms:modified xmlns:dcterms="http://purl.org/dc/terms/" xmlns:xsi="http://www.w3.org/2001/XMLSchema-instance" xsi:type="dcterms:W3CDTF">2026-10-23T13:09:57Z</dcterms:modified>
</cp:coreProperties>
</file>