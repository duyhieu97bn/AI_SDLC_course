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404040"/>
      </font>
      <fill>
        <patternFill patternType="solid">
          <fgColor rgb="00EDEDED"/>
        </patternFill>
      </fill>
    </dxf>
    <dxf>
      <font>
        <name val="Arial"/>
        <b val="1"/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Checklist rà soát BRS theo ISO/IEC/IEEE 29148:2018</t>
        </is>
      </c>
      <c r="B1" s="2" t="n"/>
    </row>
    <row r="2">
      <c r="A2" s="3" t="inlineStr">
        <is>
          <t>Tài liệu được rà soát</t>
        </is>
      </c>
      <c r="B2" s="2" t="inlineStr">
        <is>
          <t>requirements/BRD_IP_Camera_Web.md – phiên bản 0.3</t>
        </is>
      </c>
    </row>
    <row r="3">
      <c r="A3" s="3" t="inlineStr">
        <is>
          <t>Ngày rà soát</t>
        </is>
      </c>
      <c r="B3" s="2" t="inlineStr">
        <is>
          <t>21/10/2026</t>
        </is>
      </c>
    </row>
    <row r="4">
      <c r="A4" s="3" t="inlineStr">
        <is>
          <t>Người rà soát</t>
        </is>
      </c>
      <c r="B4" s="4" t="inlineStr">
        <is>
          <t>Business Analyst (cần điền tên)</t>
        </is>
      </c>
    </row>
    <row r="5">
      <c r="A5" s="2" t="n"/>
      <c r="B5" s="2" t="n"/>
    </row>
    <row r="6">
      <c r="A6" s="5" t="inlineStr">
        <is>
          <t>Cách dùng</t>
        </is>
      </c>
      <c r="B6" s="2" t="n"/>
    </row>
    <row r="7">
      <c r="A7" s="2" t="inlineStr">
        <is>
          <t>1</t>
        </is>
      </c>
      <c r="B7" s="2" t="inlineStr">
        <is>
          <t>Mở sheet "Checklist". Với mỗi dòng, đọc câu hỏi và mục BRS tương ứng.</t>
        </is>
      </c>
    </row>
    <row r="8">
      <c r="A8" s="2" t="inlineStr">
        <is>
          <t>2</t>
        </is>
      </c>
      <c r="B8" s="2" t="inlineStr">
        <is>
          <t>Chọn Trạng thái từ danh sách thả xuống; ghi bằng chứng và hành động cần làm.</t>
        </is>
      </c>
    </row>
    <row r="9">
      <c r="A9" s="2" t="inlineStr">
        <is>
          <t>3</t>
        </is>
      </c>
      <c r="B9" s="2" t="inlineStr">
        <is>
          <t>Chỉ sửa các ô nền vàng nhạt (Trạng thái, Bằng chứng, Hành động, Người phụ trách, Hạn). Các cột khác là nội dung chuẩn của checklist.</t>
        </is>
      </c>
    </row>
    <row r="10">
      <c r="A10" s="2" t="inlineStr">
        <is>
          <t>4</t>
        </is>
      </c>
      <c r="B10" s="2" t="inlineStr">
        <is>
          <t>Sheet "Tổng hợp" tự tính theo công thức, không cần nhập tay.</t>
        </is>
      </c>
    </row>
    <row r="11">
      <c r="A11" s="2" t="inlineStr">
        <is>
          <t>5</t>
        </is>
      </c>
      <c r="B11" s="2" t="inlineStr">
        <is>
          <t>Các dòng đã được điền sẵn kết quả rà soát BRS v0.3 và có thể dùng làm mẫu cho các lần rà soát sau.</t>
        </is>
      </c>
    </row>
    <row r="12">
      <c r="A12" s="2" t="n"/>
      <c r="B12" s="2" t="n"/>
    </row>
    <row r="13">
      <c r="A13" s="5" t="inlineStr">
        <is>
          <t>Ý nghĩa trạng thái</t>
        </is>
      </c>
      <c r="B13" s="2" t="n"/>
    </row>
    <row r="14">
      <c r="A14" s="2" t="inlineStr">
        <is>
          <t>Đạt</t>
        </is>
      </c>
      <c r="B14" s="2" t="inlineStr">
        <is>
          <t>Tài liệu đáp ứng đầy đủ câu hỏi, có bằng chứng ở mục BRS đã ghi.</t>
        </is>
      </c>
    </row>
    <row r="15">
      <c r="A15" s="2" t="inlineStr">
        <is>
          <t>Một phần</t>
        </is>
      </c>
      <c r="B15" s="2" t="inlineStr">
        <is>
          <t>Có nội dung nhưng thiếu hoặc chưa được xác nhận; cần hành động bổ sung.</t>
        </is>
      </c>
    </row>
    <row r="16">
      <c r="A16" s="2" t="inlineStr">
        <is>
          <t>Không đạt</t>
        </is>
      </c>
      <c r="B16" s="2" t="inlineStr">
        <is>
          <t>Chưa có nội dung hoặc vi phạm tiêu chí.</t>
        </is>
      </c>
    </row>
    <row r="17">
      <c r="A17" s="2" t="inlineStr">
        <is>
          <t>Chưa kiểm tra</t>
        </is>
      </c>
      <c r="B17" s="2" t="inlineStr">
        <is>
          <t>Cần thêm người hoặc thông tin mới đánh giá được (ví dụ cần stakeholder review).</t>
        </is>
      </c>
    </row>
    <row r="18">
      <c r="A18" s="2" t="inlineStr">
        <is>
          <t>N/A</t>
        </is>
      </c>
      <c r="B18" s="2" t="inlineStr">
        <is>
          <t>Không áp dụng cho tài liệu này; ghi lý do ở cột Bằng chứng. Không tính vào tỷ lệ đạt.</t>
        </is>
      </c>
    </row>
    <row r="19">
      <c r="A19" s="2" t="n"/>
      <c r="B19" s="2" t="n"/>
    </row>
    <row r="20">
      <c r="A20" s="5" t="inlineStr">
        <is>
          <t>Nguồn tiêu chí</t>
        </is>
      </c>
      <c r="B20" s="2" t="n"/>
    </row>
    <row r="21">
      <c r="A21" s="2" t="inlineStr">
        <is>
          <t>ISO/IEC/IEEE 29148:2018</t>
        </is>
      </c>
      <c r="B21" s="2" t="inlineStr">
        <is>
          <t>§5.2.4 cấu trúc phát biểu yêu cầu; §5.2.5 đặc tính từng yêu cầu; §5.2.6 đặc tính bộ yêu cầu; §5.2.7 tiêu chí ngôn ngữ; §5.2.8 thuộc tính yêu cầu; §9.3 nội dung BRS.</t>
        </is>
      </c>
    </row>
    <row r="22">
      <c r="A22" s="2" t="inlineStr">
        <is>
          <t>Checklist gốc</t>
        </is>
      </c>
      <c r="B22" s="2" t="inlineStr">
        <is>
          <t>github.com/minhtrantrong/SDLC-Prompt-Checklist – analysis/BRD_IEEE_29148_Checklist.xlsx (các mục ghi "Checklist gốc" được giữ lại từ đây).</t>
        </is>
      </c>
    </row>
    <row r="23">
      <c r="A23" s="2" t="inlineStr">
        <is>
          <t>Lưu ý</t>
        </is>
      </c>
      <c r="B23" s="2" t="inlineStr">
        <is>
          <t>Số mục và tên mục tiêu chuẩn được ghi theo cấu trúc của 29148:2018; nên đối chiếu với bản tiêu chuẩn chính thức trước khi dùng cho đánh giá tuân thủ chính thức.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14" customWidth="1" min="5" max="5"/>
    <col width="8" customWidth="1" min="6" max="6"/>
    <col width="9" customWidth="1" min="7" max="7"/>
    <col width="12" customWidth="1" min="8" max="8"/>
  </cols>
  <sheetData>
    <row r="1">
      <c r="A1" s="6" t="inlineStr">
        <is>
          <t>Tổng hợp kết quả rà soát</t>
        </is>
      </c>
    </row>
    <row r="2">
      <c r="A2" s="7" t="inlineStr">
        <is>
          <t>Tự tính từ sheet Checklist. Tỷ lệ đạt = Đạt / (Tổng − N/A).</t>
        </is>
      </c>
    </row>
    <row r="4">
      <c r="A4" s="8" t="inlineStr">
        <is>
          <t>Nhóm</t>
        </is>
      </c>
      <c r="B4" s="8" t="inlineStr">
        <is>
          <t>Đạt</t>
        </is>
      </c>
      <c r="C4" s="8" t="inlineStr">
        <is>
          <t>Một phần</t>
        </is>
      </c>
      <c r="D4" s="8" t="inlineStr">
        <is>
          <t>Không đạt</t>
        </is>
      </c>
      <c r="E4" s="8" t="inlineStr">
        <is>
          <t>Chưa kiểm tra</t>
        </is>
      </c>
      <c r="F4" s="8" t="inlineStr">
        <is>
          <t>N/A</t>
        </is>
      </c>
      <c r="G4" s="8" t="inlineStr">
        <is>
          <t>Tổng</t>
        </is>
      </c>
      <c r="H4" s="8" t="inlineStr">
        <is>
          <t>Tỷ lệ đạt</t>
        </is>
      </c>
    </row>
    <row r="5">
      <c r="A5" s="9" t="inlineStr">
        <is>
          <t>A. Cấu trúc tài liệu BRS</t>
        </is>
      </c>
      <c r="B5" s="10">
        <f>COUNTIFS(Checklist!$B$2:$B$60,$A5,Checklist!$G$2:$G$60,B$4)</f>
        <v/>
      </c>
      <c r="C5" s="10">
        <f>COUNTIFS(Checklist!$B$2:$B$60,$A5,Checklist!$G$2:$G$60,C$4)</f>
        <v/>
      </c>
      <c r="D5" s="10">
        <f>COUNTIFS(Checklist!$B$2:$B$60,$A5,Checklist!$G$2:$G$60,D$4)</f>
        <v/>
      </c>
      <c r="E5" s="10">
        <f>COUNTIFS(Checklist!$B$2:$B$60,$A5,Checklist!$G$2:$G$60,E$4)</f>
        <v/>
      </c>
      <c r="F5" s="10">
        <f>COUNTIFS(Checklist!$B$2:$B$60,$A5,Checklist!$G$2:$G$60,F$4)</f>
        <v/>
      </c>
      <c r="G5" s="10">
        <f>COUNTIF(Checklist!$B$2:$B$60,$A5)</f>
        <v/>
      </c>
      <c r="H5" s="11">
        <f>IF(G5-F5=0,"-",B5/(G5-F5))</f>
        <v/>
      </c>
    </row>
    <row r="6">
      <c r="A6" s="9" t="inlineStr">
        <is>
          <t>B. Yêu cầu quản lý nghiệp vụ</t>
        </is>
      </c>
      <c r="B6" s="10">
        <f>COUNTIFS(Checklist!$B$2:$B$60,$A6,Checklist!$G$2:$G$60,B$4)</f>
        <v/>
      </c>
      <c r="C6" s="10">
        <f>COUNTIFS(Checklist!$B$2:$B$60,$A6,Checklist!$G$2:$G$60,C$4)</f>
        <v/>
      </c>
      <c r="D6" s="10">
        <f>COUNTIFS(Checklist!$B$2:$B$60,$A6,Checklist!$G$2:$G$60,D$4)</f>
        <v/>
      </c>
      <c r="E6" s="10">
        <f>COUNTIFS(Checklist!$B$2:$B$60,$A6,Checklist!$G$2:$G$60,E$4)</f>
        <v/>
      </c>
      <c r="F6" s="10">
        <f>COUNTIFS(Checklist!$B$2:$B$60,$A6,Checklist!$G$2:$G$60,F$4)</f>
        <v/>
      </c>
      <c r="G6" s="10">
        <f>COUNTIF(Checklist!$B$2:$B$60,$A6)</f>
        <v/>
      </c>
      <c r="H6" s="11">
        <f>IF(G6-F6=0,"-",B6/(G6-F6))</f>
        <v/>
      </c>
    </row>
    <row r="7">
      <c r="A7" s="9" t="inlineStr">
        <is>
          <t>C. Yêu cầu vận hành nghiệp vụ</t>
        </is>
      </c>
      <c r="B7" s="10">
        <f>COUNTIFS(Checklist!$B$2:$B$60,$A7,Checklist!$G$2:$G$60,B$4)</f>
        <v/>
      </c>
      <c r="C7" s="10">
        <f>COUNTIFS(Checklist!$B$2:$B$60,$A7,Checklist!$G$2:$G$60,C$4)</f>
        <v/>
      </c>
      <c r="D7" s="10">
        <f>COUNTIFS(Checklist!$B$2:$B$60,$A7,Checklist!$G$2:$G$60,D$4)</f>
        <v/>
      </c>
      <c r="E7" s="10">
        <f>COUNTIFS(Checklist!$B$2:$B$60,$A7,Checklist!$G$2:$G$60,E$4)</f>
        <v/>
      </c>
      <c r="F7" s="10">
        <f>COUNTIFS(Checklist!$B$2:$B$60,$A7,Checklist!$G$2:$G$60,F$4)</f>
        <v/>
      </c>
      <c r="G7" s="10">
        <f>COUNTIF(Checklist!$B$2:$B$60,$A7)</f>
        <v/>
      </c>
      <c r="H7" s="11">
        <f>IF(G7-F7=0,"-",B7/(G7-F7))</f>
        <v/>
      </c>
    </row>
    <row r="8">
      <c r="A8" s="9" t="inlineStr">
        <is>
          <t>D. Khái niệm vận hành và vòng đời</t>
        </is>
      </c>
      <c r="B8" s="10">
        <f>COUNTIFS(Checklist!$B$2:$B$60,$A8,Checklist!$G$2:$G$60,B$4)</f>
        <v/>
      </c>
      <c r="C8" s="10">
        <f>COUNTIFS(Checklist!$B$2:$B$60,$A8,Checklist!$G$2:$G$60,C$4)</f>
        <v/>
      </c>
      <c r="D8" s="10">
        <f>COUNTIFS(Checklist!$B$2:$B$60,$A8,Checklist!$G$2:$G$60,D$4)</f>
        <v/>
      </c>
      <c r="E8" s="10">
        <f>COUNTIFS(Checklist!$B$2:$B$60,$A8,Checklist!$G$2:$G$60,E$4)</f>
        <v/>
      </c>
      <c r="F8" s="10">
        <f>COUNTIFS(Checklist!$B$2:$B$60,$A8,Checklist!$G$2:$G$60,F$4)</f>
        <v/>
      </c>
      <c r="G8" s="10">
        <f>COUNTIF(Checklist!$B$2:$B$60,$A8)</f>
        <v/>
      </c>
      <c r="H8" s="11">
        <f>IF(G8-F8=0,"-",B8/(G8-F8))</f>
        <v/>
      </c>
    </row>
    <row r="9">
      <c r="A9" s="9" t="inlineStr">
        <is>
          <t>E. Ràng buộc, giả định, phụ thuộc, rủi ro</t>
        </is>
      </c>
      <c r="B9" s="10">
        <f>COUNTIFS(Checklist!$B$2:$B$60,$A9,Checklist!$G$2:$G$60,B$4)</f>
        <v/>
      </c>
      <c r="C9" s="10">
        <f>COUNTIFS(Checklist!$B$2:$B$60,$A9,Checklist!$G$2:$G$60,C$4)</f>
        <v/>
      </c>
      <c r="D9" s="10">
        <f>COUNTIFS(Checklist!$B$2:$B$60,$A9,Checklist!$G$2:$G$60,D$4)</f>
        <v/>
      </c>
      <c r="E9" s="10">
        <f>COUNTIFS(Checklist!$B$2:$B$60,$A9,Checklist!$G$2:$G$60,E$4)</f>
        <v/>
      </c>
      <c r="F9" s="10">
        <f>COUNTIFS(Checklist!$B$2:$B$60,$A9,Checklist!$G$2:$G$60,F$4)</f>
        <v/>
      </c>
      <c r="G9" s="10">
        <f>COUNTIF(Checklist!$B$2:$B$60,$A9)</f>
        <v/>
      </c>
      <c r="H9" s="11">
        <f>IF(G9-F9=0,"-",B9/(G9-F9))</f>
        <v/>
      </c>
    </row>
    <row r="10">
      <c r="A10" s="9" t="inlineStr">
        <is>
          <t>F. Đặc tính từng yêu cầu</t>
        </is>
      </c>
      <c r="B10" s="10">
        <f>COUNTIFS(Checklist!$B$2:$B$60,$A10,Checklist!$G$2:$G$60,B$4)</f>
        <v/>
      </c>
      <c r="C10" s="10">
        <f>COUNTIFS(Checklist!$B$2:$B$60,$A10,Checklist!$G$2:$G$60,C$4)</f>
        <v/>
      </c>
      <c r="D10" s="10">
        <f>COUNTIFS(Checklist!$B$2:$B$60,$A10,Checklist!$G$2:$G$60,D$4)</f>
        <v/>
      </c>
      <c r="E10" s="10">
        <f>COUNTIFS(Checklist!$B$2:$B$60,$A10,Checklist!$G$2:$G$60,E$4)</f>
        <v/>
      </c>
      <c r="F10" s="10">
        <f>COUNTIFS(Checklist!$B$2:$B$60,$A10,Checklist!$G$2:$G$60,F$4)</f>
        <v/>
      </c>
      <c r="G10" s="10">
        <f>COUNTIF(Checklist!$B$2:$B$60,$A10)</f>
        <v/>
      </c>
      <c r="H10" s="11">
        <f>IF(G10-F10=0,"-",B10/(G10-F10))</f>
        <v/>
      </c>
    </row>
    <row r="11">
      <c r="A11" s="9" t="inlineStr">
        <is>
          <t>G. Ngôn ngữ yêu cầu</t>
        </is>
      </c>
      <c r="B11" s="10">
        <f>COUNTIFS(Checklist!$B$2:$B$60,$A11,Checklist!$G$2:$G$60,B$4)</f>
        <v/>
      </c>
      <c r="C11" s="10">
        <f>COUNTIFS(Checklist!$B$2:$B$60,$A11,Checklist!$G$2:$G$60,C$4)</f>
        <v/>
      </c>
      <c r="D11" s="10">
        <f>COUNTIFS(Checklist!$B$2:$B$60,$A11,Checklist!$G$2:$G$60,D$4)</f>
        <v/>
      </c>
      <c r="E11" s="10">
        <f>COUNTIFS(Checklist!$B$2:$B$60,$A11,Checklist!$G$2:$G$60,E$4)</f>
        <v/>
      </c>
      <c r="F11" s="10">
        <f>COUNTIFS(Checklist!$B$2:$B$60,$A11,Checklist!$G$2:$G$60,F$4)</f>
        <v/>
      </c>
      <c r="G11" s="10">
        <f>COUNTIF(Checklist!$B$2:$B$60,$A11)</f>
        <v/>
      </c>
      <c r="H11" s="11">
        <f>IF(G11-F11=0,"-",B11/(G11-F11))</f>
        <v/>
      </c>
    </row>
    <row r="12">
      <c r="A12" s="9" t="inlineStr">
        <is>
          <t>H. Thuộc tính yêu cầu</t>
        </is>
      </c>
      <c r="B12" s="10">
        <f>COUNTIFS(Checklist!$B$2:$B$60,$A12,Checklist!$G$2:$G$60,B$4)</f>
        <v/>
      </c>
      <c r="C12" s="10">
        <f>COUNTIFS(Checklist!$B$2:$B$60,$A12,Checklist!$G$2:$G$60,C$4)</f>
        <v/>
      </c>
      <c r="D12" s="10">
        <f>COUNTIFS(Checklist!$B$2:$B$60,$A12,Checklist!$G$2:$G$60,D$4)</f>
        <v/>
      </c>
      <c r="E12" s="10">
        <f>COUNTIFS(Checklist!$B$2:$B$60,$A12,Checklist!$G$2:$G$60,E$4)</f>
        <v/>
      </c>
      <c r="F12" s="10">
        <f>COUNTIFS(Checklist!$B$2:$B$60,$A12,Checklist!$G$2:$G$60,F$4)</f>
        <v/>
      </c>
      <c r="G12" s="10">
        <f>COUNTIF(Checklist!$B$2:$B$60,$A12)</f>
        <v/>
      </c>
      <c r="H12" s="11">
        <f>IF(G12-F12=0,"-",B12/(G12-F12))</f>
        <v/>
      </c>
    </row>
    <row r="13">
      <c r="A13" s="9" t="inlineStr">
        <is>
          <t>I. Đặc tính bộ yêu cầu</t>
        </is>
      </c>
      <c r="B13" s="10">
        <f>COUNTIFS(Checklist!$B$2:$B$60,$A13,Checklist!$G$2:$G$60,B$4)</f>
        <v/>
      </c>
      <c r="C13" s="10">
        <f>COUNTIFS(Checklist!$B$2:$B$60,$A13,Checklist!$G$2:$G$60,C$4)</f>
        <v/>
      </c>
      <c r="D13" s="10">
        <f>COUNTIFS(Checklist!$B$2:$B$60,$A13,Checklist!$G$2:$G$60,D$4)</f>
        <v/>
      </c>
      <c r="E13" s="10">
        <f>COUNTIFS(Checklist!$B$2:$B$60,$A13,Checklist!$G$2:$G$60,E$4)</f>
        <v/>
      </c>
      <c r="F13" s="10">
        <f>COUNTIFS(Checklist!$B$2:$B$60,$A13,Checklist!$G$2:$G$60,F$4)</f>
        <v/>
      </c>
      <c r="G13" s="10">
        <f>COUNTIF(Checklist!$B$2:$B$60,$A13)</f>
        <v/>
      </c>
      <c r="H13" s="11">
        <f>IF(G13-F13=0,"-",B13/(G13-F13))</f>
        <v/>
      </c>
    </row>
    <row r="14">
      <c r="A14" s="9" t="inlineStr">
        <is>
          <t>J. Tuân thủ và bảo mật</t>
        </is>
      </c>
      <c r="B14" s="10">
        <f>COUNTIFS(Checklist!$B$2:$B$60,$A14,Checklist!$G$2:$G$60,B$4)</f>
        <v/>
      </c>
      <c r="C14" s="10">
        <f>COUNTIFS(Checklist!$B$2:$B$60,$A14,Checklist!$G$2:$G$60,C$4)</f>
        <v/>
      </c>
      <c r="D14" s="10">
        <f>COUNTIFS(Checklist!$B$2:$B$60,$A14,Checklist!$G$2:$G$60,D$4)</f>
        <v/>
      </c>
      <c r="E14" s="10">
        <f>COUNTIFS(Checklist!$B$2:$B$60,$A14,Checklist!$G$2:$G$60,E$4)</f>
        <v/>
      </c>
      <c r="F14" s="10">
        <f>COUNTIFS(Checklist!$B$2:$B$60,$A14,Checklist!$G$2:$G$60,F$4)</f>
        <v/>
      </c>
      <c r="G14" s="10">
        <f>COUNTIF(Checklist!$B$2:$B$60,$A14)</f>
        <v/>
      </c>
      <c r="H14" s="11">
        <f>IF(G14-F14=0,"-",B14/(G14-F14))</f>
        <v/>
      </c>
    </row>
    <row r="15">
      <c r="A15" s="12" t="inlineStr">
        <is>
          <t>Tổng cộng</t>
        </is>
      </c>
      <c r="B15" s="13">
        <f>SUM(B5:B14)</f>
        <v/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  <c r="H15" s="14">
        <f>IF(G15-F15=0,"-",B15/(G15-F15))</f>
        <v/>
      </c>
    </row>
    <row r="17">
      <c r="A17" s="7" t="inlineStr">
        <is>
          <t>Kiểm tra: số dòng Checklist chưa chọn trạng thái</t>
        </is>
      </c>
      <c r="B17" s="15">
        <f>COUNTA(Checklist!$A$2:$A$60)-COUNTA(Checklist!$G$2:$G$60)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55" customWidth="1" min="4" max="4"/>
    <col width="30" customWidth="1" min="5" max="5"/>
    <col width="13" customWidth="1" min="6" max="6"/>
    <col width="15" customWidth="1" min="7" max="7"/>
    <col width="45" customWidth="1" min="8" max="8"/>
    <col width="42" customWidth="1" min="9" max="9"/>
    <col width="16" customWidth="1" min="10" max="10"/>
    <col width="12" customWidth="1" min="11" max="11"/>
  </cols>
  <sheetData>
    <row r="1" ht="30" customHeight="1">
      <c r="A1" s="8" t="inlineStr">
        <is>
          <t>ID</t>
        </is>
      </c>
      <c r="B1" s="8" t="inlineStr">
        <is>
          <t>Nhóm</t>
        </is>
      </c>
      <c r="C1" s="8" t="inlineStr">
        <is>
          <t>Mục kiểm tra</t>
        </is>
      </c>
      <c r="D1" s="8" t="inlineStr">
        <is>
          <t>Câu hỏi kiểm tra</t>
        </is>
      </c>
      <c r="E1" s="8" t="inlineStr">
        <is>
          <t>Tham chiếu 29148</t>
        </is>
      </c>
      <c r="F1" s="8" t="inlineStr">
        <is>
          <t>Mục trong BRS</t>
        </is>
      </c>
      <c r="G1" s="8" t="inlineStr">
        <is>
          <t>Trạng thái</t>
        </is>
      </c>
      <c r="H1" s="8" t="inlineStr">
        <is>
          <t>Bằng chứng / Ghi chú</t>
        </is>
      </c>
      <c r="I1" s="8" t="inlineStr">
        <is>
          <t>Hành động cần làm</t>
        </is>
      </c>
      <c r="J1" s="8" t="inlineStr">
        <is>
          <t>Người phụ trách</t>
        </is>
      </c>
      <c r="K1" s="8" t="inlineStr">
        <is>
          <t>Hạn</t>
        </is>
      </c>
    </row>
    <row r="2">
      <c r="A2" s="16" t="inlineStr">
        <is>
          <t>A01</t>
        </is>
      </c>
      <c r="B2" s="17" t="inlineStr">
        <is>
          <t>A. Cấu trúc tài liệu BRS</t>
        </is>
      </c>
      <c r="C2" s="17" t="inlineStr">
        <is>
          <t>Mục đích nghiệp vụ</t>
        </is>
      </c>
      <c r="D2" s="17" t="inlineStr">
        <is>
          <t>Tài liệu có nêu rõ lý do kinh doanh, vấn đề hoặc cơ hội dẫn đến dự án không?</t>
        </is>
      </c>
      <c r="E2" s="17" t="inlineStr">
        <is>
          <t>§9.3 Business purpose</t>
        </is>
      </c>
      <c r="F2" s="18" t="inlineStr">
        <is>
          <t>1.1</t>
        </is>
      </c>
      <c r="G2" s="19" t="inlineStr">
        <is>
          <t>Đạt</t>
        </is>
      </c>
      <c r="H2" s="20" t="inlineStr">
        <is>
          <t>Nêu vấn đề phân mảnh do nhiều phần mềm của từng hãng.</t>
        </is>
      </c>
      <c r="I2" s="20" t="n"/>
      <c r="J2" s="20" t="n"/>
      <c r="K2" s="21" t="n"/>
    </row>
    <row r="3">
      <c r="A3" s="16" t="inlineStr">
        <is>
          <t>A02</t>
        </is>
      </c>
      <c r="B3" s="17" t="inlineStr">
        <is>
          <t>A. Cấu trúc tài liệu BRS</t>
        </is>
      </c>
      <c r="C3" s="17" t="inlineStr">
        <is>
          <t>Phạm vi nghiệp vụ</t>
        </is>
      </c>
      <c r="D3" s="17" t="inlineStr">
        <is>
          <t>Có liệt kê rõ phần trong phạm vi và ngoài phạm vi không?</t>
        </is>
      </c>
      <c r="E3" s="17" t="inlineStr">
        <is>
          <t>§9.3 Business scope</t>
        </is>
      </c>
      <c r="F3" s="18" t="inlineStr">
        <is>
          <t>1.2</t>
        </is>
      </c>
      <c r="G3" s="19" t="inlineStr">
        <is>
          <t>Đạt</t>
        </is>
      </c>
      <c r="H3" s="20" t="inlineStr">
        <is>
          <t>9 mục in-scope, 6 mục out-of-scope.</t>
        </is>
      </c>
      <c r="I3" s="20" t="n"/>
      <c r="J3" s="20" t="n"/>
      <c r="K3" s="21" t="n"/>
    </row>
    <row r="4">
      <c r="A4" s="16" t="inlineStr">
        <is>
          <t>A03</t>
        </is>
      </c>
      <c r="B4" s="17" t="inlineStr">
        <is>
          <t>A. Cấu trúc tài liệu BRS</t>
        </is>
      </c>
      <c r="C4" s="17" t="inlineStr">
        <is>
          <t>Tổng quan nghiệp vụ</t>
        </is>
      </c>
      <c r="D4" s="17" t="inlineStr">
        <is>
          <t>Có sơ đồ hoặc mô tả tổng quan hệ thống và các bên giao tiếp không?</t>
        </is>
      </c>
      <c r="E4" s="17" t="inlineStr">
        <is>
          <t>§9.3 Business overview</t>
        </is>
      </c>
      <c r="F4" s="18" t="inlineStr">
        <is>
          <t>1.3</t>
        </is>
      </c>
      <c r="G4" s="19" t="inlineStr">
        <is>
          <t>Đạt</t>
        </is>
      </c>
      <c r="H4" s="20" t="inlineStr">
        <is>
          <t>Sơ đồ Mermaid tổng quan.</t>
        </is>
      </c>
      <c r="I4" s="20" t="n"/>
      <c r="J4" s="20" t="n"/>
      <c r="K4" s="21" t="n"/>
    </row>
    <row r="5">
      <c r="A5" s="16" t="inlineStr">
        <is>
          <t>A04</t>
        </is>
      </c>
      <c r="B5" s="17" t="inlineStr">
        <is>
          <t>A. Cấu trúc tài liệu BRS</t>
        </is>
      </c>
      <c r="C5" s="17" t="inlineStr">
        <is>
          <t>Định nghĩa và viết tắt</t>
        </is>
      </c>
      <c r="D5" s="17" t="inlineStr">
        <is>
          <t>Mọi thuật ngữ chuyên môn và viết tắt có được định nghĩa không?</t>
        </is>
      </c>
      <c r="E5" s="17" t="inlineStr">
        <is>
          <t>§9.3 Definitions; Appendix</t>
        </is>
      </c>
      <c r="F5" s="18" t="inlineStr">
        <is>
          <t>1.4, 8.1</t>
        </is>
      </c>
      <c r="G5" s="19" t="inlineStr">
        <is>
          <t>Đạt</t>
        </is>
      </c>
      <c r="H5" s="20" t="n"/>
      <c r="I5" s="20" t="n"/>
      <c r="J5" s="20" t="n"/>
      <c r="K5" s="21" t="n"/>
    </row>
    <row r="6">
      <c r="A6" s="16" t="inlineStr">
        <is>
          <t>A05</t>
        </is>
      </c>
      <c r="B6" s="17" t="inlineStr">
        <is>
          <t>A. Cấu trúc tài liệu BRS</t>
        </is>
      </c>
      <c r="C6" s="17" t="inlineStr">
        <is>
          <t>Stakeholder chính</t>
        </is>
      </c>
      <c r="D6" s="17" t="inlineStr">
        <is>
          <t>Đã xác định đầy đủ stakeholder nội bộ, bên ngoài và mối quan tâm của họ chưa?</t>
        </is>
      </c>
      <c r="E6" s="17" t="inlineStr">
        <is>
          <t>§9.3 Major stakeholders</t>
        </is>
      </c>
      <c r="F6" s="18" t="inlineStr">
        <is>
          <t>1.5</t>
        </is>
      </c>
      <c r="G6" s="19" t="inlineStr">
        <is>
          <t>Đạt</t>
        </is>
      </c>
      <c r="H6" s="20" t="inlineStr">
        <is>
          <t>Đã thêm người bị ghi hình (chủ thể dữ liệu).</t>
        </is>
      </c>
      <c r="I6" s="20" t="n"/>
      <c r="J6" s="20" t="n"/>
      <c r="K6" s="21" t="n"/>
    </row>
    <row r="7">
      <c r="A7" s="16" t="inlineStr">
        <is>
          <t>A06</t>
        </is>
      </c>
      <c r="B7" s="17" t="inlineStr">
        <is>
          <t>A. Cấu trúc tài liệu BRS</t>
        </is>
      </c>
      <c r="C7" s="17" t="inlineStr">
        <is>
          <t>Tài liệu tham chiếu</t>
        </is>
      </c>
      <c r="D7" s="17" t="inlineStr">
        <is>
          <t>Có danh sách tài liệu, tiêu chuẩn, quy định được tham chiếu không?</t>
        </is>
      </c>
      <c r="E7" s="17" t="inlineStr">
        <is>
          <t>§9.3 References</t>
        </is>
      </c>
      <c r="F7" s="18" t="inlineStr">
        <is>
          <t>2</t>
        </is>
      </c>
      <c r="G7" s="19" t="inlineStr">
        <is>
          <t>Đạt</t>
        </is>
      </c>
      <c r="H7" s="20" t="inlineStr">
        <is>
          <t>REF-01 đến REF-05.</t>
        </is>
      </c>
      <c r="I7" s="20" t="n"/>
      <c r="J7" s="20" t="n"/>
      <c r="K7" s="21" t="n"/>
    </row>
    <row r="8">
      <c r="A8" s="16" t="inlineStr">
        <is>
          <t>A07</t>
        </is>
      </c>
      <c r="B8" s="17" t="inlineStr">
        <is>
          <t>A. Cấu trúc tài liệu BRS</t>
        </is>
      </c>
      <c r="C8" s="17" t="inlineStr">
        <is>
          <t>Kiểm soát phiên bản và phê duyệt</t>
        </is>
      </c>
      <c r="D8" s="17" t="inlineStr">
        <is>
          <t>Có lịch sử phiên bản và danh sách người phê duyệt có tên không?</t>
        </is>
      </c>
      <c r="E8" s="17" t="inlineStr">
        <is>
          <t>§6 Information items (quản lý thông tin)</t>
        </is>
      </c>
      <c r="F8" s="18" t="inlineStr">
        <is>
          <t>Đầu tài liệu, 8.3</t>
        </is>
      </c>
      <c r="G8" s="19" t="inlineStr">
        <is>
          <t>Một phần</t>
        </is>
      </c>
      <c r="H8" s="20" t="inlineStr">
        <is>
          <t>Có lịch sử phiên bản; bảng phê duyệt chưa có tên.</t>
        </is>
      </c>
      <c r="I8" s="20" t="inlineStr">
        <is>
          <t>Điền tên người phê duyệt.</t>
        </is>
      </c>
      <c r="J8" s="20" t="n"/>
      <c r="K8" s="21" t="n"/>
    </row>
    <row r="9">
      <c r="A9" s="16" t="inlineStr">
        <is>
          <t>B01</t>
        </is>
      </c>
      <c r="B9" s="17" t="inlineStr">
        <is>
          <t>B. Yêu cầu quản lý nghiệp vụ</t>
        </is>
      </c>
      <c r="C9" s="17" t="inlineStr">
        <is>
          <t>Môi trường nghiệp vụ</t>
        </is>
      </c>
      <c r="D9" s="17" t="inlineStr">
        <is>
          <t>Có mô tả vấn đề hiện tại và các yếu tố bên ngoài (pháp lý, thị trường, hạ tầng) không?</t>
        </is>
      </c>
      <c r="E9" s="17" t="inlineStr">
        <is>
          <t>§9.3 Business environment</t>
        </is>
      </c>
      <c r="F9" s="18" t="inlineStr">
        <is>
          <t>3.1</t>
        </is>
      </c>
      <c r="G9" s="19" t="inlineStr">
        <is>
          <t>Đạt</t>
        </is>
      </c>
      <c r="H9" s="20" t="inlineStr">
        <is>
          <t>P1–P5 và 3 yếu tố bên ngoài.</t>
        </is>
      </c>
      <c r="I9" s="20" t="n"/>
      <c r="J9" s="20" t="n"/>
      <c r="K9" s="21" t="n"/>
    </row>
    <row r="10">
      <c r="A10" s="16" t="inlineStr">
        <is>
          <t>B02</t>
        </is>
      </c>
      <c r="B10" s="17" t="inlineStr">
        <is>
          <t>B. Yêu cầu quản lý nghiệp vụ</t>
        </is>
      </c>
      <c r="C10" s="17" t="inlineStr">
        <is>
          <t>Mục tiêu và KPI</t>
        </is>
      </c>
      <c r="D10" s="17" t="inlineStr">
        <is>
          <t>Mục tiêu có đo được, có giá trị mục tiêu, có thời hạn và có mức hiện tại (baseline) không?</t>
        </is>
      </c>
      <c r="E10" s="17" t="inlineStr">
        <is>
          <t>§9.3 Mission, goals and objectives</t>
        </is>
      </c>
      <c r="F10" s="18" t="inlineStr">
        <is>
          <t>3.2</t>
        </is>
      </c>
      <c r="G10" s="19" t="inlineStr">
        <is>
          <t>Một phần</t>
        </is>
      </c>
      <c r="H10" s="20" t="inlineStr">
        <is>
          <t>BO-04 "giảm 70% so với hiện tại" chưa có số hiện tại; các KPI chưa được Sponsor xác nhận.</t>
        </is>
      </c>
      <c r="I10" s="20" t="inlineStr">
        <is>
          <t>Đo baseline; Sponsor xác nhận KPI.</t>
        </is>
      </c>
      <c r="J10" s="20" t="n"/>
      <c r="K10" s="21" t="n"/>
    </row>
    <row r="11">
      <c r="A11" s="16" t="inlineStr">
        <is>
          <t>B03</t>
        </is>
      </c>
      <c r="B11" s="17" t="inlineStr">
        <is>
          <t>B. Yêu cầu quản lý nghiệp vụ</t>
        </is>
      </c>
      <c r="C11" s="17" t="inlineStr">
        <is>
          <t>Lợi ích tài chính / ROI</t>
        </is>
      </c>
      <c r="D11" s="17" t="inlineStr">
        <is>
          <t>Có ước tính chi phí, lợi ích, thời gian hoàn vốn không?</t>
        </is>
      </c>
      <c r="E11" s="17" t="inlineStr">
        <is>
          <t>Mở rộng ngoài 29148 (checklist gốc)</t>
        </is>
      </c>
      <c r="F11" s="18" t="inlineStr">
        <is>
          <t>3.5</t>
        </is>
      </c>
      <c r="G11" s="19" t="inlineStr">
        <is>
          <t>Một phần</t>
        </is>
      </c>
      <c r="H11" s="20" t="inlineStr">
        <is>
          <t>Có mục 3.5 Lợi ích và chi phí; chưa có số liệu chi phí và thời gian hoàn vốn.</t>
        </is>
      </c>
      <c r="I11" s="20" t="inlineStr">
        <is>
          <t>Bổ sung số liệu khi có quyết định OQ-02 và ngân sách.</t>
        </is>
      </c>
      <c r="J11" s="20" t="n"/>
      <c r="K11" s="21" t="n"/>
    </row>
    <row r="12">
      <c r="A12" s="16" t="inlineStr">
        <is>
          <t>B04</t>
        </is>
      </c>
      <c r="B12" s="17" t="inlineStr">
        <is>
          <t>B. Yêu cầu quản lý nghiệp vụ</t>
        </is>
      </c>
      <c r="C12" s="17" t="inlineStr">
        <is>
          <t>Mô hình nghiệp vụ</t>
        </is>
      </c>
      <c r="D12" s="17" t="inlineStr">
        <is>
          <t>Đã chọn mô hình kinh doanh/vận hành (nội bộ, SaaS…) chưa?</t>
        </is>
      </c>
      <c r="E12" s="17" t="inlineStr">
        <is>
          <t>§9.3 Business model</t>
        </is>
      </c>
      <c r="F12" s="18" t="inlineStr">
        <is>
          <t>3.3</t>
        </is>
      </c>
      <c r="G12" s="19" t="inlineStr">
        <is>
          <t>Đạt</t>
        </is>
      </c>
      <c r="H12" s="20" t="inlineStr">
        <is>
          <t>Đã chốt OQ-01: nội bộ trước, SaaS sau.</t>
        </is>
      </c>
      <c r="I12" s="20" t="n"/>
      <c r="J12" s="20" t="n"/>
      <c r="K12" s="21" t="n"/>
    </row>
    <row r="13">
      <c r="A13" s="16" t="inlineStr">
        <is>
          <t>B05</t>
        </is>
      </c>
      <c r="B13" s="17" t="inlineStr">
        <is>
          <t>B. Yêu cầu quản lý nghiệp vụ</t>
        </is>
      </c>
      <c r="C13" s="17" t="inlineStr">
        <is>
          <t>Môi trường thông tin</t>
        </is>
      </c>
      <c r="D13" s="17" t="inlineStr">
        <is>
          <t>Có mô tả loại dữ liệu, nguồn, thời gian lưu, độ nhạy cảm và hệ thống trao đổi không?</t>
        </is>
      </c>
      <c r="E13" s="17" t="inlineStr">
        <is>
          <t>§9.3 Information environment</t>
        </is>
      </c>
      <c r="F13" s="18" t="inlineStr">
        <is>
          <t>3.4</t>
        </is>
      </c>
      <c r="G13" s="19" t="inlineStr">
        <is>
          <t>Đạt</t>
        </is>
      </c>
      <c r="H13" s="20" t="n"/>
      <c r="I13" s="20" t="n"/>
      <c r="J13" s="20" t="n"/>
      <c r="K13" s="21" t="n"/>
    </row>
    <row r="14">
      <c r="A14" s="16" t="inlineStr">
        <is>
          <t>C01</t>
        </is>
      </c>
      <c r="B14" s="17" t="inlineStr">
        <is>
          <t>C. Yêu cầu vận hành nghiệp vụ</t>
        </is>
      </c>
      <c r="C14" s="17" t="inlineStr">
        <is>
          <t>Quy trình hiện tại (As-Is)</t>
        </is>
      </c>
      <c r="D14" s="17" t="inlineStr">
        <is>
          <t>Quy trình hiện tại có được mô tả để làm bối cảnh cho thay đổi không?</t>
        </is>
      </c>
      <c r="E14" s="17" t="inlineStr">
        <is>
          <t>§9.3 Business processes</t>
        </is>
      </c>
      <c r="F14" s="18" t="inlineStr">
        <is>
          <t>4.1</t>
        </is>
      </c>
      <c r="G14" s="19" t="inlineStr">
        <is>
          <t>Đạt</t>
        </is>
      </c>
      <c r="H14" s="20" t="n"/>
      <c r="I14" s="20" t="n"/>
      <c r="J14" s="20" t="n"/>
      <c r="K14" s="21" t="n"/>
    </row>
    <row r="15">
      <c r="A15" s="16" t="inlineStr">
        <is>
          <t>C02</t>
        </is>
      </c>
      <c r="B15" s="17" t="inlineStr">
        <is>
          <t>C. Yêu cầu vận hành nghiệp vụ</t>
        </is>
      </c>
      <c r="C15" s="17" t="inlineStr">
        <is>
          <t>Quy trình mục tiêu (To-Be)</t>
        </is>
      </c>
      <c r="D15" s="17" t="inlineStr">
        <is>
          <t>Quy trình mới có được minh họa và chỉ ra điểm cải tiến so với hiện tại không?</t>
        </is>
      </c>
      <c r="E15" s="17" t="inlineStr">
        <is>
          <t>§9.3 Business processes</t>
        </is>
      </c>
      <c r="F15" s="18" t="inlineStr">
        <is>
          <t>4.1</t>
        </is>
      </c>
      <c r="G15" s="19" t="inlineStr">
        <is>
          <t>Đạt</t>
        </is>
      </c>
      <c r="H15" s="20" t="inlineStr">
        <is>
          <t>Có sơ đồ và bảng so sánh.</t>
        </is>
      </c>
      <c r="I15" s="20" t="n"/>
      <c r="J15" s="20" t="n"/>
      <c r="K15" s="21" t="n"/>
    </row>
    <row r="16">
      <c r="A16" s="16" t="inlineStr">
        <is>
          <t>C03</t>
        </is>
      </c>
      <c r="B16" s="17" t="inlineStr">
        <is>
          <t>C. Yêu cầu vận hành nghiệp vụ</t>
        </is>
      </c>
      <c r="C16" s="17" t="inlineStr">
        <is>
          <t>Chính sách và quy tắc nghiệp vụ</t>
        </is>
      </c>
      <c r="D16" s="17" t="inlineStr">
        <is>
          <t>Các quy tắc nghiệp vụ có được tách riêng, đánh mã và viết rõ không?</t>
        </is>
      </c>
      <c r="E16" s="17" t="inlineStr">
        <is>
          <t>§9.3 Business operational policies and rules</t>
        </is>
      </c>
      <c r="F16" s="18" t="inlineStr">
        <is>
          <t>4.2</t>
        </is>
      </c>
      <c r="G16" s="19" t="inlineStr">
        <is>
          <t>Đạt</t>
        </is>
      </c>
      <c r="H16" s="20" t="inlineStr">
        <is>
          <t>RULE-01 đến RULE-06.</t>
        </is>
      </c>
      <c r="I16" s="20" t="n"/>
      <c r="J16" s="20" t="n"/>
      <c r="K16" s="21" t="n"/>
    </row>
    <row r="17">
      <c r="A17" s="16" t="inlineStr">
        <is>
          <t>C04</t>
        </is>
      </c>
      <c r="B17" s="17" t="inlineStr">
        <is>
          <t>C. Yêu cầu vận hành nghiệp vụ</t>
        </is>
      </c>
      <c r="C17" s="17" t="inlineStr">
        <is>
          <t>Ràng buộc vận hành</t>
        </is>
      </c>
      <c r="D17" s="17" t="inlineStr">
        <is>
          <t>Các ràng buộc ảnh hưởng đến vận hành có được nêu không?</t>
        </is>
      </c>
      <c r="E17" s="17" t="inlineStr">
        <is>
          <t>§9.3 Business operational constraints</t>
        </is>
      </c>
      <c r="F17" s="18" t="inlineStr">
        <is>
          <t>4.3</t>
        </is>
      </c>
      <c r="G17" s="19" t="inlineStr">
        <is>
          <t>Đạt</t>
        </is>
      </c>
      <c r="H17" s="20" t="n"/>
      <c r="I17" s="20" t="n"/>
      <c r="J17" s="20" t="n"/>
      <c r="K17" s="21" t="n"/>
    </row>
    <row r="18">
      <c r="A18" s="16" t="inlineStr">
        <is>
          <t>C05</t>
        </is>
      </c>
      <c r="B18" s="17" t="inlineStr">
        <is>
          <t>C. Yêu cầu vận hành nghiệp vụ</t>
        </is>
      </c>
      <c r="C18" s="17" t="inlineStr">
        <is>
          <t>Chế độ vận hành</t>
        </is>
      </c>
      <c r="D18" s="17" t="inlineStr">
        <is>
          <t>Có mô tả hành vi ở chế độ bình thường, suy giảm, bảo trì không?</t>
        </is>
      </c>
      <c r="E18" s="17" t="inlineStr">
        <is>
          <t>§9.3 Business operational modes</t>
        </is>
      </c>
      <c r="F18" s="18" t="inlineStr">
        <is>
          <t>4.4</t>
        </is>
      </c>
      <c r="G18" s="19" t="inlineStr">
        <is>
          <t>Đạt</t>
        </is>
      </c>
      <c r="H18" s="20" t="n"/>
      <c r="I18" s="20" t="n"/>
      <c r="J18" s="20" t="n"/>
      <c r="K18" s="21" t="n"/>
    </row>
    <row r="19">
      <c r="A19" s="16" t="inlineStr">
        <is>
          <t>C06</t>
        </is>
      </c>
      <c r="B19" s="17" t="inlineStr">
        <is>
          <t>C. Yêu cầu vận hành nghiệp vụ</t>
        </is>
      </c>
      <c r="C19" s="17" t="inlineStr">
        <is>
          <t>Chất lượng vận hành (NFR)</t>
        </is>
      </c>
      <c r="D19" s="17" t="inlineStr">
        <is>
          <t>Các yêu cầu hiệu năng, quy mô, sẵn sàng, khả dụng có ngưỡng đo được không?</t>
        </is>
      </c>
      <c r="E19" s="17" t="inlineStr">
        <is>
          <t>§9.3 Business operational quality</t>
        </is>
      </c>
      <c r="F19" s="18" t="inlineStr">
        <is>
          <t>4.5</t>
        </is>
      </c>
      <c r="G19" s="19" t="inlineStr">
        <is>
          <t>Một phần</t>
        </is>
      </c>
      <c r="H19" s="20" t="inlineStr">
        <is>
          <t>Có ngưỡng nhưng chưa được IT xác nhận.</t>
        </is>
      </c>
      <c r="I19" s="20" t="inlineStr">
        <is>
          <t>IT xác nhận NFR-01 đến NFR-09.</t>
        </is>
      </c>
      <c r="J19" s="20" t="n"/>
      <c r="K19" s="21" t="n"/>
    </row>
    <row r="20">
      <c r="A20" s="16" t="inlineStr">
        <is>
          <t>C07</t>
        </is>
      </c>
      <c r="B20" s="17" t="inlineStr">
        <is>
          <t>C. Yêu cầu vận hành nghiệp vụ</t>
        </is>
      </c>
      <c r="C20" s="17" t="inlineStr">
        <is>
          <t>Tính liên tục kinh doanh</t>
        </is>
      </c>
      <c r="D20" s="17" t="inlineStr">
        <is>
          <t>Có xác định RTO (thời gian khôi phục) và RPO (lượng dữ liệu chấp nhận mất) không?</t>
        </is>
      </c>
      <c r="E20" s="17" t="inlineStr">
        <is>
          <t>§9.3 Business operational quality</t>
        </is>
      </c>
      <c r="F20" s="18" t="inlineStr">
        <is>
          <t>4.5</t>
        </is>
      </c>
      <c r="G20" s="19" t="inlineStr">
        <is>
          <t>Một phần</t>
        </is>
      </c>
      <c r="H20" s="20" t="inlineStr">
        <is>
          <t>Đã thêm NFR-10 đến NFR-12 (RTO ≤ 4 giờ, RPO ≤ 1 giờ); ngưỡng chưa được IT xác nhận.</t>
        </is>
      </c>
      <c r="I20" s="20" t="inlineStr">
        <is>
          <t>IT xác nhận RTO/RPO.</t>
        </is>
      </c>
      <c r="J20" s="20" t="n"/>
      <c r="K20" s="21" t="n"/>
    </row>
    <row r="21">
      <c r="A21" s="16" t="inlineStr">
        <is>
          <t>C08</t>
        </is>
      </c>
      <c r="B21" s="17" t="inlineStr">
        <is>
          <t>C. Yêu cầu vận hành nghiệp vụ</t>
        </is>
      </c>
      <c r="C21" s="17" t="inlineStr">
        <is>
          <t>Cơ cấu tổ chức và vai trò</t>
        </is>
      </c>
      <c r="D21" s="17" t="inlineStr">
        <is>
          <t>Các vai trò, đơn vị và quyền chính có được xác định không?</t>
        </is>
      </c>
      <c r="E21" s="17" t="inlineStr">
        <is>
          <t>§9.3 Business structure</t>
        </is>
      </c>
      <c r="F21" s="18" t="inlineStr">
        <is>
          <t>4.6</t>
        </is>
      </c>
      <c r="G21" s="19" t="inlineStr">
        <is>
          <t>Đạt</t>
        </is>
      </c>
      <c r="H21" s="20" t="n"/>
      <c r="I21" s="20" t="n"/>
      <c r="J21" s="20" t="n"/>
      <c r="K21" s="21" t="n"/>
    </row>
    <row r="22">
      <c r="A22" s="16" t="inlineStr">
        <is>
          <t>C09</t>
        </is>
      </c>
      <c r="B22" s="17" t="inlineStr">
        <is>
          <t>C. Yêu cầu vận hành nghiệp vụ</t>
        </is>
      </c>
      <c r="C22" s="17" t="inlineStr">
        <is>
          <t>Đặc điểm người dùng</t>
        </is>
      </c>
      <c r="D22" s="17" t="inlineStr">
        <is>
          <t>Có mô tả bối cảnh làm việc, tần suất sử dụng và trình độ của từng nhóm người dùng không?</t>
        </is>
      </c>
      <c r="E22" s="17" t="inlineStr">
        <is>
          <t>§9.3 Business structure; checklist gốc</t>
        </is>
      </c>
      <c r="F22" s="18" t="inlineStr">
        <is>
          <t>4.6</t>
        </is>
      </c>
      <c r="G22" s="19" t="inlineStr">
        <is>
          <t>Một phần</t>
        </is>
      </c>
      <c r="H22" s="20" t="inlineStr">
        <is>
          <t>Đã thêm bảng đặc điểm người dùng; chưa xác nhận qua phỏng vấn.</t>
        </is>
      </c>
      <c r="I22" s="20" t="inlineStr">
        <is>
          <t>Phỏng vấn 1–2 người cho mỗi vai trò.</t>
        </is>
      </c>
      <c r="J22" s="20" t="n"/>
      <c r="K22" s="21" t="n"/>
    </row>
    <row r="23">
      <c r="A23" s="16" t="inlineStr">
        <is>
          <t>D01</t>
        </is>
      </c>
      <c r="B23" s="17" t="inlineStr">
        <is>
          <t>D. Khái niệm vận hành và vòng đời</t>
        </is>
      </c>
      <c r="C23" s="17" t="inlineStr">
        <is>
          <t>Khái niệm vận hành sơ bộ</t>
        </is>
      </c>
      <c r="D23" s="17" t="inlineStr">
        <is>
          <t>Có mô tả cách hệ thống được dùng ở mức tổng thể không?</t>
        </is>
      </c>
      <c r="E23" s="17" t="inlineStr">
        <is>
          <t>§9.3 Preliminary operational concept</t>
        </is>
      </c>
      <c r="F23" s="18" t="inlineStr">
        <is>
          <t>5.1</t>
        </is>
      </c>
      <c r="G23" s="19" t="inlineStr">
        <is>
          <t>Đạt</t>
        </is>
      </c>
      <c r="H23" s="20" t="n"/>
      <c r="I23" s="20" t="n"/>
      <c r="J23" s="20" t="n"/>
      <c r="K23" s="21" t="n"/>
    </row>
    <row r="24">
      <c r="A24" s="16" t="inlineStr">
        <is>
          <t>D02</t>
        </is>
      </c>
      <c r="B24" s="17" t="inlineStr">
        <is>
          <t>D. Khái niệm vận hành và vòng đời</t>
        </is>
      </c>
      <c r="C24" s="17" t="inlineStr">
        <is>
          <t>Kịch bản vận hành</t>
        </is>
      </c>
      <c r="D24" s="17" t="inlineStr">
        <is>
          <t>Có kịch bản từ góc nhìn người dùng, mỗi kịch bản truy vết về yêu cầu không?</t>
        </is>
      </c>
      <c r="E24" s="17" t="inlineStr">
        <is>
          <t>§9.3 Operational scenarios</t>
        </is>
      </c>
      <c r="F24" s="18" t="inlineStr">
        <is>
          <t>5.2</t>
        </is>
      </c>
      <c r="G24" s="19" t="inlineStr">
        <is>
          <t>Đạt</t>
        </is>
      </c>
      <c r="H24" s="20" t="inlineStr">
        <is>
          <t>SC-01 đến SC-04.</t>
        </is>
      </c>
      <c r="I24" s="20" t="n"/>
      <c r="J24" s="20" t="n"/>
      <c r="K24" s="21" t="n"/>
    </row>
    <row r="25">
      <c r="A25" s="16" t="inlineStr">
        <is>
          <t>D03</t>
        </is>
      </c>
      <c r="B25" s="17" t="inlineStr">
        <is>
          <t>D. Khái niệm vận hành và vòng đời</t>
        </is>
      </c>
      <c r="C25" s="17" t="inlineStr">
        <is>
          <t>Khái niệm mua sắm</t>
        </is>
      </c>
      <c r="D25" s="17" t="inlineStr">
        <is>
          <t>Đã xác định phương án tự phát triển hay mua không?</t>
        </is>
      </c>
      <c r="E25" s="17" t="inlineStr">
        <is>
          <t>§9.3 Other life-cycle concepts – acquisition</t>
        </is>
      </c>
      <c r="F25" s="18" t="inlineStr">
        <is>
          <t>6.1</t>
        </is>
      </c>
      <c r="G25" s="19" t="inlineStr">
        <is>
          <t>Một phần</t>
        </is>
      </c>
      <c r="H25" s="20" t="inlineStr">
        <is>
          <t>Chưa chốt (OQ-02).</t>
        </is>
      </c>
      <c r="I25" s="20" t="inlineStr">
        <is>
          <t>Sponsor và IT quyết định OQ-02.</t>
        </is>
      </c>
      <c r="J25" s="20" t="n"/>
      <c r="K25" s="21" t="n"/>
    </row>
    <row r="26">
      <c r="A26" s="16" t="inlineStr">
        <is>
          <t>D04</t>
        </is>
      </c>
      <c r="B26" s="17" t="inlineStr">
        <is>
          <t>D. Khái niệm vận hành và vòng đời</t>
        </is>
      </c>
      <c r="C26" s="17" t="inlineStr">
        <is>
          <t>Khái niệm triển khai</t>
        </is>
      </c>
      <c r="D26" s="17" t="inlineStr">
        <is>
          <t>Có kế hoạch thí điểm, mở rộng, đào tạo không?</t>
        </is>
      </c>
      <c r="E26" s="17" t="inlineStr">
        <is>
          <t>§9.3 Other life-cycle concepts – deployment</t>
        </is>
      </c>
      <c r="F26" s="18" t="inlineStr">
        <is>
          <t>6.2</t>
        </is>
      </c>
      <c r="G26" s="19" t="inlineStr">
        <is>
          <t>Đạt</t>
        </is>
      </c>
      <c r="H26" s="20" t="n"/>
      <c r="I26" s="20" t="n"/>
      <c r="J26" s="20" t="n"/>
      <c r="K26" s="21" t="n"/>
    </row>
    <row r="27">
      <c r="A27" s="16" t="inlineStr">
        <is>
          <t>D05</t>
        </is>
      </c>
      <c r="B27" s="17" t="inlineStr">
        <is>
          <t>D. Khái niệm vận hành và vòng đời</t>
        </is>
      </c>
      <c r="C27" s="17" t="inlineStr">
        <is>
          <t>Khái niệm hỗ trợ</t>
        </is>
      </c>
      <c r="D27" s="17" t="inlineStr">
        <is>
          <t>Có mô hình hỗ trợ và giám sát vận hành không?</t>
        </is>
      </c>
      <c r="E27" s="17" t="inlineStr">
        <is>
          <t>§9.3 Other life-cycle concepts – support</t>
        </is>
      </c>
      <c r="F27" s="18" t="inlineStr">
        <is>
          <t>6.3</t>
        </is>
      </c>
      <c r="G27" s="19" t="inlineStr">
        <is>
          <t>Đạt</t>
        </is>
      </c>
      <c r="H27" s="20" t="n"/>
      <c r="I27" s="20" t="n"/>
      <c r="J27" s="20" t="n"/>
      <c r="K27" s="21" t="n"/>
    </row>
    <row r="28">
      <c r="A28" s="16" t="inlineStr">
        <is>
          <t>D06</t>
        </is>
      </c>
      <c r="B28" s="17" t="inlineStr">
        <is>
          <t>D. Khái niệm vận hành và vòng đời</t>
        </is>
      </c>
      <c r="C28" s="17" t="inlineStr">
        <is>
          <t>Khái niệm thu hồi</t>
        </is>
      </c>
      <c r="D28" s="17" t="inlineStr">
        <is>
          <t>Có xử lý dữ liệu và hệ thống khi ngừng sử dụng không?</t>
        </is>
      </c>
      <c r="E28" s="17" t="inlineStr">
        <is>
          <t>§9.3 Other life-cycle concepts – retirement</t>
        </is>
      </c>
      <c r="F28" s="18" t="inlineStr">
        <is>
          <t>6.4</t>
        </is>
      </c>
      <c r="G28" s="19" t="inlineStr">
        <is>
          <t>Đạt</t>
        </is>
      </c>
      <c r="H28" s="20" t="n"/>
      <c r="I28" s="20" t="n"/>
      <c r="J28" s="20" t="n"/>
      <c r="K28" s="21" t="n"/>
    </row>
    <row r="29">
      <c r="A29" s="16" t="inlineStr">
        <is>
          <t>E01</t>
        </is>
      </c>
      <c r="B29" s="17" t="inlineStr">
        <is>
          <t>E. Ràng buộc, giả định, phụ thuộc, rủi ro</t>
        </is>
      </c>
      <c r="C29" s="17" t="inlineStr">
        <is>
          <t>Ràng buộc dự án</t>
        </is>
      </c>
      <c r="D29" s="17" t="inlineStr">
        <is>
          <t>Ngân sách, thời gian, nhân lực có được xác định không?</t>
        </is>
      </c>
      <c r="E29" s="17" t="inlineStr">
        <is>
          <t>§9.3 Project constraints</t>
        </is>
      </c>
      <c r="F29" s="18" t="inlineStr">
        <is>
          <t>7</t>
        </is>
      </c>
      <c r="G29" s="19" t="inlineStr">
        <is>
          <t>Một phần</t>
        </is>
      </c>
      <c r="H29" s="20" t="inlineStr">
        <is>
          <t>Ngân sách, nhân lực còn "cần xác định".</t>
        </is>
      </c>
      <c r="I29" s="20" t="inlineStr">
        <is>
          <t>Sponsor cung cấp ngân sách và mốc thời gian.</t>
        </is>
      </c>
      <c r="J29" s="20" t="n"/>
      <c r="K29" s="21" t="n"/>
    </row>
    <row r="30">
      <c r="A30" s="16" t="inlineStr">
        <is>
          <t>E02</t>
        </is>
      </c>
      <c r="B30" s="17" t="inlineStr">
        <is>
          <t>E. Ràng buộc, giả định, phụ thuộc, rủi ro</t>
        </is>
      </c>
      <c r="C30" s="17" t="inlineStr">
        <is>
          <t>Giả định</t>
        </is>
      </c>
      <c r="D30" s="17" t="inlineStr">
        <is>
          <t>Các giả định quan trọng có được nêu và đánh mã không?</t>
        </is>
      </c>
      <c r="E30" s="17" t="inlineStr">
        <is>
          <t>§9.3 Project constraints</t>
        </is>
      </c>
      <c r="F30" s="18" t="inlineStr">
        <is>
          <t>7</t>
        </is>
      </c>
      <c r="G30" s="19" t="inlineStr">
        <is>
          <t>Đạt</t>
        </is>
      </c>
      <c r="H30" s="20" t="inlineStr">
        <is>
          <t>A-01 đến A-03.</t>
        </is>
      </c>
      <c r="I30" s="20" t="n"/>
      <c r="J30" s="20" t="n"/>
      <c r="K30" s="21" t="n"/>
    </row>
    <row r="31">
      <c r="A31" s="16" t="inlineStr">
        <is>
          <t>E03</t>
        </is>
      </c>
      <c r="B31" s="17" t="inlineStr">
        <is>
          <t>E. Ràng buộc, giả định, phụ thuộc, rủi ro</t>
        </is>
      </c>
      <c r="C31" s="17" t="inlineStr">
        <is>
          <t>Phụ thuộc</t>
        </is>
      </c>
      <c r="D31" s="17" t="inlineStr">
        <is>
          <t>Có liệt kê phụ thuộc vào hệ thống, dịch vụ, nhà cung cấp bên ngoài không?</t>
        </is>
      </c>
      <c r="E31" s="17" t="inlineStr">
        <is>
          <t>§9.3 Project constraints</t>
        </is>
      </c>
      <c r="F31" s="18" t="inlineStr">
        <is>
          <t>7</t>
        </is>
      </c>
      <c r="G31" s="19" t="inlineStr">
        <is>
          <t>Đạt</t>
        </is>
      </c>
      <c r="H31" s="20" t="inlineStr">
        <is>
          <t>Đã khôi phục: D-01 đến D-05.</t>
        </is>
      </c>
      <c r="I31" s="20" t="n"/>
      <c r="J31" s="20" t="n"/>
      <c r="K31" s="21" t="n"/>
    </row>
    <row r="32">
      <c r="A32" s="16" t="inlineStr">
        <is>
          <t>E04</t>
        </is>
      </c>
      <c r="B32" s="17" t="inlineStr">
        <is>
          <t>E. Ràng buộc, giả định, phụ thuộc, rủi ro</t>
        </is>
      </c>
      <c r="C32" s="17" t="inlineStr">
        <is>
          <t>Rủi ro và giảm thiểu</t>
        </is>
      </c>
      <c r="D32" s="17" t="inlineStr">
        <is>
          <t>Rủi ro có đánh giá khả năng, ảnh hưởng và biện pháp giảm thiểu không?</t>
        </is>
      </c>
      <c r="E32" s="17" t="inlineStr">
        <is>
          <t>§9.3 Project constraints</t>
        </is>
      </c>
      <c r="F32" s="18" t="inlineStr">
        <is>
          <t>7</t>
        </is>
      </c>
      <c r="G32" s="19" t="inlineStr">
        <is>
          <t>Đạt</t>
        </is>
      </c>
      <c r="H32" s="20" t="inlineStr">
        <is>
          <t>R-01 đến R-05.</t>
        </is>
      </c>
      <c r="I32" s="20" t="n"/>
      <c r="J32" s="20" t="n"/>
      <c r="K32" s="21" t="n"/>
    </row>
    <row r="33">
      <c r="A33" s="16" t="inlineStr">
        <is>
          <t>E05</t>
        </is>
      </c>
      <c r="B33" s="17" t="inlineStr">
        <is>
          <t>E. Ràng buộc, giả định, phụ thuộc, rủi ro</t>
        </is>
      </c>
      <c r="C33" s="17" t="inlineStr">
        <is>
          <t>Kế hoạch dự phòng</t>
        </is>
      </c>
      <c r="D33" s="17" t="inlineStr">
        <is>
          <t>Rủi ro lớn có kế hoạch dự phòng khi xảy ra không?</t>
        </is>
      </c>
      <c r="E33" s="17" t="inlineStr">
        <is>
          <t>Checklist gốc</t>
        </is>
      </c>
      <c r="F33" s="18" t="inlineStr">
        <is>
          <t>7</t>
        </is>
      </c>
      <c r="G33" s="19" t="inlineStr">
        <is>
          <t>Đạt</t>
        </is>
      </c>
      <c r="H33" s="20" t="inlineStr">
        <is>
          <t>Có cột Kế hoạch dự phòng cho R-01 đến R-05.</t>
        </is>
      </c>
      <c r="I33" s="20" t="n"/>
      <c r="J33" s="20" t="n"/>
      <c r="K33" s="21" t="n"/>
    </row>
    <row r="34">
      <c r="A34" s="16" t="inlineStr">
        <is>
          <t>E06</t>
        </is>
      </c>
      <c r="B34" s="17" t="inlineStr">
        <is>
          <t>E. Ràng buộc, giả định, phụ thuộc, rủi ro</t>
        </is>
      </c>
      <c r="C34" s="17" t="inlineStr">
        <is>
          <t>Câu hỏi mở</t>
        </is>
      </c>
      <c r="D34" s="17" t="inlineStr">
        <is>
          <t>Câu hỏi mở có người trả lời và hạn trả lời không?</t>
        </is>
      </c>
      <c r="E34" s="17" t="inlineStr">
        <is>
          <t>Thực hành tốt</t>
        </is>
      </c>
      <c r="F34" s="18" t="inlineStr">
        <is>
          <t>7</t>
        </is>
      </c>
      <c r="G34" s="19" t="inlineStr">
        <is>
          <t>Đạt</t>
        </is>
      </c>
      <c r="H34" s="20" t="inlineStr">
        <is>
          <t>Có người trả lời, hạn theo mốc dự án và trạng thái.</t>
        </is>
      </c>
      <c r="I34" s="20" t="n"/>
      <c r="J34" s="20" t="n"/>
      <c r="K34" s="21" t="n"/>
    </row>
    <row r="35">
      <c r="A35" s="16" t="inlineStr">
        <is>
          <t>F01</t>
        </is>
      </c>
      <c r="B35" s="17" t="inlineStr">
        <is>
          <t>F. Đặc tính từng yêu cầu</t>
        </is>
      </c>
      <c r="C35" s="17" t="inlineStr">
        <is>
          <t>Cần thiết (Necessary)</t>
        </is>
      </c>
      <c r="D35" s="17" t="inlineStr">
        <is>
          <t>Mỗi yêu cầu có phục vụ ít nhất một mục tiêu; bỏ đi có làm thiếu năng lực không?</t>
        </is>
      </c>
      <c r="E35" s="17" t="inlineStr">
        <is>
          <t>§5.2.5 Necessary</t>
        </is>
      </c>
      <c r="F35" s="18" t="inlineStr">
        <is>
          <t>4.1, 8.2</t>
        </is>
      </c>
      <c r="G35" s="19" t="inlineStr">
        <is>
          <t>Đạt</t>
        </is>
      </c>
      <c r="H35" s="20" t="inlineStr">
        <is>
          <t>Mọi BR đều truy vết về BO.</t>
        </is>
      </c>
      <c r="I35" s="20" t="n"/>
      <c r="J35" s="20" t="n"/>
      <c r="K35" s="21" t="n"/>
    </row>
    <row r="36">
      <c r="A36" s="16" t="inlineStr">
        <is>
          <t>F02</t>
        </is>
      </c>
      <c r="B36" s="17" t="inlineStr">
        <is>
          <t>F. Đặc tính từng yêu cầu</t>
        </is>
      </c>
      <c r="C36" s="17" t="inlineStr">
        <is>
          <t>Phù hợp mức trừu tượng (Appropriate)</t>
        </is>
      </c>
      <c r="D36" s="17" t="inlineStr">
        <is>
          <t>Yêu cầu có ở mức nghiệp vụ, không ràng vào giải pháp kỹ thuật không?</t>
        </is>
      </c>
      <c r="E36" s="17" t="inlineStr">
        <is>
          <t>§5.2.5 Appropriate</t>
        </is>
      </c>
      <c r="F36" s="18" t="inlineStr">
        <is>
          <t>4.1</t>
        </is>
      </c>
      <c r="G36" s="19" t="inlineStr">
        <is>
          <t>Đạt</t>
        </is>
      </c>
      <c r="H36" s="20" t="inlineStr">
        <is>
          <t>Đã bỏ tên trình duyệt, MP4, H.264/H.265 khỏi BR; chi tiết chuyển xuống PRD/SRS.</t>
        </is>
      </c>
      <c r="I36" s="20" t="n"/>
      <c r="J36" s="20" t="n"/>
      <c r="K36" s="21" t="n"/>
    </row>
    <row r="37">
      <c r="A37" s="16" t="inlineStr">
        <is>
          <t>F03</t>
        </is>
      </c>
      <c r="B37" s="17" t="inlineStr">
        <is>
          <t>F. Đặc tính từng yêu cầu</t>
        </is>
      </c>
      <c r="C37" s="17" t="inlineStr">
        <is>
          <t>Không mơ hồ (Unambiguous)</t>
        </is>
      </c>
      <c r="D37" s="17" t="inlineStr">
        <is>
          <t>Mỗi yêu cầu chỉ có một cách hiểu không?</t>
        </is>
      </c>
      <c r="E37" s="17" t="inlineStr">
        <is>
          <t>§5.2.5 Unambiguous</t>
        </is>
      </c>
      <c r="F37" s="18" t="inlineStr">
        <is>
          <t>4.1</t>
        </is>
      </c>
      <c r="G37" s="19" t="inlineStr">
        <is>
          <t>Đạt</t>
        </is>
      </c>
      <c r="H37" s="20" t="inlineStr">
        <is>
          <t>BR-10 định lượng theo bitrate; BR-27 nêu rõ nội dung thông báo.</t>
        </is>
      </c>
      <c r="I37" s="20" t="n"/>
      <c r="J37" s="20" t="n"/>
      <c r="K37" s="21" t="n"/>
    </row>
    <row r="38">
      <c r="A38" s="16" t="inlineStr">
        <is>
          <t>F04</t>
        </is>
      </c>
      <c r="B38" s="17" t="inlineStr">
        <is>
          <t>F. Đặc tính từng yêu cầu</t>
        </is>
      </c>
      <c r="C38" s="17" t="inlineStr">
        <is>
          <t>Đầy đủ (Complete)</t>
        </is>
      </c>
      <c r="D38" s="17" t="inlineStr">
        <is>
          <t>Mỗi yêu cầu có đủ thông tin để hiểu và thực hiện không?</t>
        </is>
      </c>
      <c r="E38" s="17" t="inlineStr">
        <is>
          <t>§5.2.5 Complete</t>
        </is>
      </c>
      <c r="F38" s="18" t="inlineStr">
        <is>
          <t>4.1</t>
        </is>
      </c>
      <c r="G38" s="19" t="inlineStr">
        <is>
          <t>Đạt</t>
        </is>
      </c>
      <c r="H38" s="20" t="n"/>
      <c r="I38" s="20" t="n"/>
      <c r="J38" s="20" t="n"/>
      <c r="K38" s="21" t="n"/>
    </row>
    <row r="39">
      <c r="A39" s="16" t="inlineStr">
        <is>
          <t>F05</t>
        </is>
      </c>
      <c r="B39" s="17" t="inlineStr">
        <is>
          <t>F. Đặc tính từng yêu cầu</t>
        </is>
      </c>
      <c r="C39" s="17" t="inlineStr">
        <is>
          <t>Đơn nhất (Singular)</t>
        </is>
      </c>
      <c r="D39" s="17" t="inlineStr">
        <is>
          <t>Mỗi yêu cầu chỉ nêu một năng lực, không gộp nhiều ý bằng "và"?</t>
        </is>
      </c>
      <c r="E39" s="17" t="inlineStr">
        <is>
          <t>§5.2.5 Singular</t>
        </is>
      </c>
      <c r="F39" s="18" t="inlineStr">
        <is>
          <t>4.1</t>
        </is>
      </c>
      <c r="G39" s="19" t="inlineStr">
        <is>
          <t>Đạt</t>
        </is>
      </c>
      <c r="H39" s="20" t="inlineStr">
        <is>
          <t>Đã tách BR-09/34, BR-11/35, BR-28/36, BR-31/37, BR-33/38; phần ghi nhật ký của BR-18 do BR-30 đảm nhiệm.</t>
        </is>
      </c>
      <c r="I39" s="20" t="n"/>
      <c r="J39" s="20" t="n"/>
      <c r="K39" s="21" t="n"/>
    </row>
    <row r="40">
      <c r="A40" s="16" t="inlineStr">
        <is>
          <t>F06</t>
        </is>
      </c>
      <c r="B40" s="17" t="inlineStr">
        <is>
          <t>F. Đặc tính từng yêu cầu</t>
        </is>
      </c>
      <c r="C40" s="17" t="inlineStr">
        <is>
          <t>Khả thi (Feasible)</t>
        </is>
      </c>
      <c r="D40" s="17" t="inlineStr">
        <is>
          <t>Yêu cầu có thực hiện được trong ràng buộc đã biết không?</t>
        </is>
      </c>
      <c r="E40" s="17" t="inlineStr">
        <is>
          <t>§5.2.5 Feasible</t>
        </is>
      </c>
      <c r="F40" s="18" t="inlineStr">
        <is>
          <t>4.1, 7</t>
        </is>
      </c>
      <c r="G40" s="19" t="inlineStr">
        <is>
          <t>Một phần</t>
        </is>
      </c>
      <c r="H40" s="20" t="inlineStr">
        <is>
          <t>BR-06, BR-27 phụ thuộc mức hỗ trợ của từng hãng (R-01).</t>
        </is>
      </c>
      <c r="I40" s="20" t="inlineStr">
        <is>
          <t>Kiểm tra khả thi với danh sách camera mục tiêu.</t>
        </is>
      </c>
      <c r="J40" s="20" t="n"/>
      <c r="K40" s="21" t="n"/>
    </row>
    <row r="41">
      <c r="A41" s="16" t="inlineStr">
        <is>
          <t>F07</t>
        </is>
      </c>
      <c r="B41" s="17" t="inlineStr">
        <is>
          <t>F. Đặc tính từng yêu cầu</t>
        </is>
      </c>
      <c r="C41" s="17" t="inlineStr">
        <is>
          <t>Kiểm chứng được (Verifiable)</t>
        </is>
      </c>
      <c r="D41" s="17" t="inlineStr">
        <is>
          <t>Có thể chứng minh yêu cầu được đáp ứng bằng phương pháp đã ghi không?</t>
        </is>
      </c>
      <c r="E41" s="17" t="inlineStr">
        <is>
          <t>§5.2.5 Verifiable</t>
        </is>
      </c>
      <c r="F41" s="18" t="inlineStr">
        <is>
          <t>4.1</t>
        </is>
      </c>
      <c r="G41" s="19" t="inlineStr">
        <is>
          <t>Một phần</t>
        </is>
      </c>
      <c r="H41" s="20" t="inlineStr">
        <is>
          <t>Có cột KC; tiêu chí chấp nhận chi tiết được viết trong PRD.</t>
        </is>
      </c>
      <c r="I41" s="20" t="inlineStr">
        <is>
          <t>Hoàn thiện tiêu chí chấp nhận trong PRD.</t>
        </is>
      </c>
      <c r="J41" s="20" t="n"/>
      <c r="K41" s="21" t="n"/>
    </row>
    <row r="42">
      <c r="A42" s="16" t="inlineStr">
        <is>
          <t>F08</t>
        </is>
      </c>
      <c r="B42" s="17" t="inlineStr">
        <is>
          <t>F. Đặc tính từng yêu cầu</t>
        </is>
      </c>
      <c r="C42" s="17" t="inlineStr">
        <is>
          <t>Đúng (Correct)</t>
        </is>
      </c>
      <c r="D42" s="17" t="inlineStr">
        <is>
          <t>Yêu cầu có phản ánh đúng nhu cầu thực của stakeholder không?</t>
        </is>
      </c>
      <c r="E42" s="17" t="inlineStr">
        <is>
          <t>§5.2.5 Correct</t>
        </is>
      </c>
      <c r="F42" s="18" t="inlineStr">
        <is>
          <t>4.1</t>
        </is>
      </c>
      <c r="G42" s="19" t="inlineStr">
        <is>
          <t>Chưa kiểm tra</t>
        </is>
      </c>
      <c r="H42" s="20" t="inlineStr">
        <is>
          <t>Chưa họp rà soát với stakeholder.</t>
        </is>
      </c>
      <c r="I42" s="20" t="inlineStr">
        <is>
          <t>Tổ chức buổi review với người dùng chính.</t>
        </is>
      </c>
      <c r="J42" s="20" t="n"/>
      <c r="K42" s="21" t="n"/>
    </row>
    <row r="43">
      <c r="A43" s="16" t="inlineStr">
        <is>
          <t>F09</t>
        </is>
      </c>
      <c r="B43" s="17" t="inlineStr">
        <is>
          <t>F. Đặc tính từng yêu cầu</t>
        </is>
      </c>
      <c r="C43" s="17" t="inlineStr">
        <is>
          <t>Tuân thủ quy ước (Conforming)</t>
        </is>
      </c>
      <c r="D43" s="17" t="inlineStr">
        <is>
          <t>Yêu cầu viết theo quy ước "phải/nên/sẽ" và mẫu chung không?</t>
        </is>
      </c>
      <c r="E43" s="17" t="inlineStr">
        <is>
          <t>§5.2.4, §5.2.5 Conforming</t>
        </is>
      </c>
      <c r="F43" s="18" t="inlineStr">
        <is>
          <t>Đầu tài liệu, 4.1</t>
        </is>
      </c>
      <c r="G43" s="19" t="inlineStr">
        <is>
          <t>Đạt</t>
        </is>
      </c>
      <c r="H43" s="20" t="n"/>
      <c r="I43" s="20" t="n"/>
      <c r="J43" s="20" t="n"/>
      <c r="K43" s="21" t="n"/>
    </row>
    <row r="44">
      <c r="A44" s="16" t="inlineStr">
        <is>
          <t>G01</t>
        </is>
      </c>
      <c r="B44" s="17" t="inlineStr">
        <is>
          <t>G. Ngôn ngữ yêu cầu</t>
        </is>
      </c>
      <c r="C44" s="17" t="inlineStr">
        <is>
          <t>Tránh từ chủ quan, mơ hồ</t>
        </is>
      </c>
      <c r="D44" s="17" t="inlineStr">
        <is>
          <t>Có dùng từ như "nhanh", "dễ dùng", "thân thiện", "tối ưu", "rõ" trong phát biểu yêu cầu không?</t>
        </is>
      </c>
      <c r="E44" s="17" t="inlineStr">
        <is>
          <t>§5.2.7 Requirements language criteria</t>
        </is>
      </c>
      <c r="F44" s="18" t="inlineStr">
        <is>
          <t>4.1</t>
        </is>
      </c>
      <c r="G44" s="19" t="inlineStr">
        <is>
          <t>Đạt</t>
        </is>
      </c>
      <c r="H44" s="20" t="inlineStr">
        <is>
          <t>BR-27 đã thay "rõ" bằng nội dung cụ thể.</t>
        </is>
      </c>
      <c r="I44" s="20" t="n"/>
      <c r="J44" s="20" t="n"/>
      <c r="K44" s="21" t="n"/>
    </row>
    <row r="45">
      <c r="A45" s="16" t="inlineStr">
        <is>
          <t>G02</t>
        </is>
      </c>
      <c r="B45" s="17" t="inlineStr">
        <is>
          <t>G. Ngôn ngữ yêu cầu</t>
        </is>
      </c>
      <c r="C45" s="17" t="inlineStr">
        <is>
          <t>Tránh cụm từ mở, lỗ hổng</t>
        </is>
      </c>
      <c r="D45" s="17" t="inlineStr">
        <is>
          <t>Có dùng "v.v.", "…", "và/hoặc", "nếu có thể", "ví dụ" trong phát biểu yêu cầu không?</t>
        </is>
      </c>
      <c r="E45" s="17" t="inlineStr">
        <is>
          <t>§5.2.7 Requirements language criteria</t>
        </is>
      </c>
      <c r="F45" s="18" t="inlineStr">
        <is>
          <t>4.1</t>
        </is>
      </c>
      <c r="G45" s="19" t="inlineStr">
        <is>
          <t>Đạt</t>
        </is>
      </c>
      <c r="H45" s="20" t="inlineStr">
        <is>
          <t>BR-32 ghi rõ "Telegram và Zalo".</t>
        </is>
      </c>
      <c r="I45" s="20" t="n"/>
      <c r="J45" s="20" t="n"/>
      <c r="K45" s="21" t="n"/>
    </row>
    <row r="46">
      <c r="A46" s="16" t="inlineStr">
        <is>
          <t>G03</t>
        </is>
      </c>
      <c r="B46" s="17" t="inlineStr">
        <is>
          <t>G. Ngôn ngữ yêu cầu</t>
        </is>
      </c>
      <c r="C46" s="17" t="inlineStr">
        <is>
          <t>Tránh phát biểu phủ định không kiểm chứng</t>
        </is>
      </c>
      <c r="D46" s="17" t="inlineStr">
        <is>
          <t>Yêu cầu có nêu điều hệ thống "không làm" mà không kiểm chứng được không?</t>
        </is>
      </c>
      <c r="E46" s="17" t="inlineStr">
        <is>
          <t>§5.2.7 Requirements language criteria</t>
        </is>
      </c>
      <c r="F46" s="18" t="inlineStr">
        <is>
          <t>4.1</t>
        </is>
      </c>
      <c r="G46" s="19" t="inlineStr">
        <is>
          <t>Đạt</t>
        </is>
      </c>
      <c r="H46" s="20" t="n"/>
      <c r="I46" s="20" t="n"/>
      <c r="J46" s="20" t="n"/>
      <c r="K46" s="21" t="n"/>
    </row>
    <row r="47">
      <c r="A47" s="16" t="inlineStr">
        <is>
          <t>H01</t>
        </is>
      </c>
      <c r="B47" s="17" t="inlineStr">
        <is>
          <t>H. Thuộc tính yêu cầu</t>
        </is>
      </c>
      <c r="C47" s="17" t="inlineStr">
        <is>
          <t>Mã định danh duy nhất</t>
        </is>
      </c>
      <c r="D47" s="17" t="inlineStr">
        <is>
          <t>Mỗi yêu cầu có mã duy nhất, không trùng, không tái sử dụng không?</t>
        </is>
      </c>
      <c r="E47" s="17" t="inlineStr">
        <is>
          <t>§5.2.8 Requirement attributes</t>
        </is>
      </c>
      <c r="F47" s="18" t="inlineStr">
        <is>
          <t>4.1</t>
        </is>
      </c>
      <c r="G47" s="19" t="inlineStr">
        <is>
          <t>Đạt</t>
        </is>
      </c>
      <c r="H47" s="20" t="n"/>
      <c r="I47" s="20" t="n"/>
      <c r="J47" s="20" t="n"/>
      <c r="K47" s="21" t="n"/>
    </row>
    <row r="48">
      <c r="A48" s="16" t="inlineStr">
        <is>
          <t>H02</t>
        </is>
      </c>
      <c r="B48" s="17" t="inlineStr">
        <is>
          <t>H. Thuộc tính yêu cầu</t>
        </is>
      </c>
      <c r="C48" s="17" t="inlineStr">
        <is>
          <t>Lý do (Rationale)</t>
        </is>
      </c>
      <c r="D48" s="17" t="inlineStr">
        <is>
          <t>Mỗi yêu cầu có lý do nghiệp vụ không?</t>
        </is>
      </c>
      <c r="E48" s="17" t="inlineStr">
        <is>
          <t>§5.2.8 Requirement attributes</t>
        </is>
      </c>
      <c r="F48" s="18" t="inlineStr">
        <is>
          <t>4.1</t>
        </is>
      </c>
      <c r="G48" s="19" t="inlineStr">
        <is>
          <t>Đạt</t>
        </is>
      </c>
      <c r="H48" s="20" t="n"/>
      <c r="I48" s="20" t="n"/>
      <c r="J48" s="20" t="n"/>
      <c r="K48" s="21" t="n"/>
    </row>
    <row r="49">
      <c r="A49" s="16" t="inlineStr">
        <is>
          <t>H03</t>
        </is>
      </c>
      <c r="B49" s="17" t="inlineStr">
        <is>
          <t>H. Thuộc tính yêu cầu</t>
        </is>
      </c>
      <c r="C49" s="17" t="inlineStr">
        <is>
          <t>Ưu tiên</t>
        </is>
      </c>
      <c r="D49" s="17" t="inlineStr">
        <is>
          <t>Mỗi yêu cầu có mức ưu tiên theo một thang thống nhất không?</t>
        </is>
      </c>
      <c r="E49" s="17" t="inlineStr">
        <is>
          <t>§5.2.8 Requirement attributes</t>
        </is>
      </c>
      <c r="F49" s="18" t="inlineStr">
        <is>
          <t>4.1</t>
        </is>
      </c>
      <c r="G49" s="19" t="inlineStr">
        <is>
          <t>Đạt</t>
        </is>
      </c>
      <c r="H49" s="20" t="inlineStr">
        <is>
          <t>MoSCoW.</t>
        </is>
      </c>
      <c r="I49" s="20" t="n"/>
      <c r="J49" s="20" t="n"/>
      <c r="K49" s="21" t="n"/>
    </row>
    <row r="50">
      <c r="A50" s="16" t="inlineStr">
        <is>
          <t>H04</t>
        </is>
      </c>
      <c r="B50" s="17" t="inlineStr">
        <is>
          <t>H. Thuộc tính yêu cầu</t>
        </is>
      </c>
      <c r="C50" s="17" t="inlineStr">
        <is>
          <t>Nguồn yêu cầu</t>
        </is>
      </c>
      <c r="D50" s="17" t="inlineStr">
        <is>
          <t>Mỗi yêu cầu có ghi stakeholder hoặc tài liệu đề xuất nó không?</t>
        </is>
      </c>
      <c r="E50" s="17" t="inlineStr">
        <is>
          <t>§5.2.8 Requirement attributes</t>
        </is>
      </c>
      <c r="F50" s="18" t="inlineStr">
        <is>
          <t>4.1</t>
        </is>
      </c>
      <c r="G50" s="19" t="inlineStr">
        <is>
          <t>Một phần</t>
        </is>
      </c>
      <c r="H50" s="20" t="inlineStr">
        <is>
          <t>Đã thêm cột Nguồn; do BA đề xuất, chưa được stakeholder xác nhận.</t>
        </is>
      </c>
      <c r="I50" s="20" t="inlineStr">
        <is>
          <t>Xác nhận nguồn khi review.</t>
        </is>
      </c>
      <c r="J50" s="20" t="n"/>
      <c r="K50" s="21" t="n"/>
    </row>
    <row r="51">
      <c r="A51" s="16" t="inlineStr">
        <is>
          <t>H05</t>
        </is>
      </c>
      <c r="B51" s="17" t="inlineStr">
        <is>
          <t>H. Thuộc tính yêu cầu</t>
        </is>
      </c>
      <c r="C51" s="17" t="inlineStr">
        <is>
          <t>Phương pháp kiểm chứng</t>
        </is>
      </c>
      <c r="D51" s="17" t="inlineStr">
        <is>
          <t>Mỗi yêu cầu có phương pháp kiểm chứng (I/A/D/T) không?</t>
        </is>
      </c>
      <c r="E51" s="17" t="inlineStr">
        <is>
          <t>§5.2.8 Requirement attributes</t>
        </is>
      </c>
      <c r="F51" s="18" t="inlineStr">
        <is>
          <t>4.1</t>
        </is>
      </c>
      <c r="G51" s="19" t="inlineStr">
        <is>
          <t>Đạt</t>
        </is>
      </c>
      <c r="H51" s="20" t="n"/>
      <c r="I51" s="20" t="n"/>
      <c r="J51" s="20" t="n"/>
      <c r="K51" s="21" t="n"/>
    </row>
    <row r="52">
      <c r="A52" s="16" t="inlineStr">
        <is>
          <t>H06</t>
        </is>
      </c>
      <c r="B52" s="17" t="inlineStr">
        <is>
          <t>H. Thuộc tính yêu cầu</t>
        </is>
      </c>
      <c r="C52" s="17" t="inlineStr">
        <is>
          <t>Rủi ro / độ khó từng yêu cầu</t>
        </is>
      </c>
      <c r="D52" s="17" t="inlineStr">
        <is>
          <t>Yêu cầu có đánh giá rủi ro hoặc độ khó thực hiện không? (thuộc tính tùy chọn)</t>
        </is>
      </c>
      <c r="E52" s="17" t="inlineStr">
        <is>
          <t>§5.2.8 Requirement attributes</t>
        </is>
      </c>
      <c r="F52" s="18" t="inlineStr">
        <is>
          <t>4.1</t>
        </is>
      </c>
      <c r="G52" s="19" t="inlineStr">
        <is>
          <t>N/A</t>
        </is>
      </c>
      <c r="H52" s="20" t="inlineStr">
        <is>
          <t>Thuộc tính tùy chọn, chưa cần ở giai đoạn BRS.</t>
        </is>
      </c>
      <c r="I52" s="20" t="n"/>
      <c r="J52" s="20" t="n"/>
      <c r="K52" s="21" t="n"/>
    </row>
    <row r="53">
      <c r="A53" s="16" t="inlineStr">
        <is>
          <t>I01</t>
        </is>
      </c>
      <c r="B53" s="17" t="inlineStr">
        <is>
          <t>I. Đặc tính bộ yêu cầu</t>
        </is>
      </c>
      <c r="C53" s="17" t="inlineStr">
        <is>
          <t>Bộ yêu cầu đầy đủ</t>
        </is>
      </c>
      <c r="D53" s="17" t="inlineStr">
        <is>
          <t>Mọi mục tiêu và vấn đề đều có yêu cầu đáp ứng không?</t>
        </is>
      </c>
      <c r="E53" s="17" t="inlineStr">
        <is>
          <t>§5.2.6 Complete (set)</t>
        </is>
      </c>
      <c r="F53" s="18" t="inlineStr">
        <is>
          <t>8.2</t>
        </is>
      </c>
      <c r="G53" s="19" t="inlineStr">
        <is>
          <t>Đạt</t>
        </is>
      </c>
      <c r="H53" s="20" t="inlineStr">
        <is>
          <t>Ma trận truy vết bao phủ BO-01 đến BO-05, P1 đến P5, BR-01 đến BR-38.</t>
        </is>
      </c>
      <c r="I53" s="20" t="n"/>
      <c r="J53" s="20" t="n"/>
      <c r="K53" s="21" t="n"/>
    </row>
    <row r="54">
      <c r="A54" s="16" t="inlineStr">
        <is>
          <t>I02</t>
        </is>
      </c>
      <c r="B54" s="17" t="inlineStr">
        <is>
          <t>I. Đặc tính bộ yêu cầu</t>
        </is>
      </c>
      <c r="C54" s="17" t="inlineStr">
        <is>
          <t>Nhất quán</t>
        </is>
      </c>
      <c r="D54" s="17" t="inlineStr">
        <is>
          <t>Các yêu cầu, quy tắc, vai trò có mâu thuẫn nhau không?</t>
        </is>
      </c>
      <c r="E54" s="17" t="inlineStr">
        <is>
          <t>§5.2.6 Consistent</t>
        </is>
      </c>
      <c r="F54" s="18" t="inlineStr">
        <is>
          <t>4.1, 4.2, 4.6</t>
        </is>
      </c>
      <c r="G54" s="19" t="inlineStr">
        <is>
          <t>Đạt</t>
        </is>
      </c>
      <c r="H54" s="20" t="inlineStr">
        <is>
          <t>Rà nhanh BR-29, RULE-01, 4.6, SC-03: không thấy mâu thuẫn.</t>
        </is>
      </c>
      <c r="I54" s="20" t="n"/>
      <c r="J54" s="20" t="n"/>
      <c r="K54" s="21" t="n"/>
    </row>
    <row r="55">
      <c r="A55" s="16" t="inlineStr">
        <is>
          <t>I03</t>
        </is>
      </c>
      <c r="B55" s="17" t="inlineStr">
        <is>
          <t>I. Đặc tính bộ yêu cầu</t>
        </is>
      </c>
      <c r="C55" s="17" t="inlineStr">
        <is>
          <t>Dễ hiểu</t>
        </is>
      </c>
      <c r="D55" s="17" t="inlineStr">
        <is>
          <t>Người đọc nghiệp vụ có hiểu bộ yêu cầu mà không cần giải thích thêm không?</t>
        </is>
      </c>
      <c r="E55" s="17" t="inlineStr">
        <is>
          <t>§5.2.6 Comprehensible</t>
        </is>
      </c>
      <c r="F55" s="18" t="inlineStr">
        <is>
          <t>Toàn bộ</t>
        </is>
      </c>
      <c r="G55" s="19" t="inlineStr">
        <is>
          <t>Chưa kiểm tra</t>
        </is>
      </c>
      <c r="H55" s="20" t="inlineStr">
        <is>
          <t>Cần người đọc ngoài nhóm soạn thảo đánh giá.</t>
        </is>
      </c>
      <c r="I55" s="20" t="inlineStr">
        <is>
          <t>Nhờ 1–2 người dùng chính đọc thử.</t>
        </is>
      </c>
      <c r="J55" s="20" t="n"/>
      <c r="K55" s="21" t="n"/>
    </row>
    <row r="56">
      <c r="A56" s="16" t="inlineStr">
        <is>
          <t>I04</t>
        </is>
      </c>
      <c r="B56" s="17" t="inlineStr">
        <is>
          <t>I. Đặc tính bộ yêu cầu</t>
        </is>
      </c>
      <c r="C56" s="17" t="inlineStr">
        <is>
          <t>Có thể xác nhận (Validated)</t>
        </is>
      </c>
      <c r="D56" s="17" t="inlineStr">
        <is>
          <t>Stakeholder đã xác nhận bộ yêu cầu phản ánh đúng nhu cầu chưa?</t>
        </is>
      </c>
      <c r="E56" s="17" t="inlineStr">
        <is>
          <t>§5.2.6 Able to be validated</t>
        </is>
      </c>
      <c r="F56" s="18" t="inlineStr">
        <is>
          <t>8.3</t>
        </is>
      </c>
      <c r="G56" s="19" t="inlineStr">
        <is>
          <t>Chưa kiểm tra</t>
        </is>
      </c>
      <c r="H56" s="20" t="inlineStr">
        <is>
          <t>Chưa ký phê duyệt.</t>
        </is>
      </c>
      <c r="I56" s="20" t="inlineStr">
        <is>
          <t>Lấy phê duyệt sau khi sửa các mục chưa đạt.</t>
        </is>
      </c>
      <c r="J56" s="20" t="n"/>
      <c r="K56" s="21" t="n"/>
    </row>
    <row r="57">
      <c r="A57" s="16" t="inlineStr">
        <is>
          <t>I05</t>
        </is>
      </c>
      <c r="B57" s="17" t="inlineStr">
        <is>
          <t>I. Đặc tính bộ yêu cầu</t>
        </is>
      </c>
      <c r="C57" s="17" t="inlineStr">
        <is>
          <t>Truy vết hai chiều</t>
        </is>
      </c>
      <c r="D57" s="17" t="inlineStr">
        <is>
          <t>Có truy vết từ mục tiêu xuống yêu cầu và ngược lại không?</t>
        </is>
      </c>
      <c r="E57" s="17" t="inlineStr">
        <is>
          <t>§5.2.8; §6.2 Traceability</t>
        </is>
      </c>
      <c r="F57" s="18" t="inlineStr">
        <is>
          <t>8.2</t>
        </is>
      </c>
      <c r="G57" s="19" t="inlineStr">
        <is>
          <t>Đạt</t>
        </is>
      </c>
      <c r="H57" s="20" t="n"/>
      <c r="I57" s="20" t="n"/>
      <c r="J57" s="20" t="n"/>
      <c r="K57" s="21" t="n"/>
    </row>
    <row r="58">
      <c r="A58" s="16" t="inlineStr">
        <is>
          <t>J01</t>
        </is>
      </c>
      <c r="B58" s="17" t="inlineStr">
        <is>
          <t>J. Tuân thủ và bảo mật</t>
        </is>
      </c>
      <c r="C58" s="17" t="inlineStr">
        <is>
          <t>Pháp lý và dữ liệu cá nhân</t>
        </is>
      </c>
      <c r="D58" s="17" t="inlineStr">
        <is>
          <t>Đã xác định các quy định áp dụng (ví dụ Nghị định 13/2023/NĐ-CP) và yêu cầu tương ứng chưa?</t>
        </is>
      </c>
      <c r="E58" s="17" t="inlineStr">
        <is>
          <t>§9.3 Business environment; checklist gốc</t>
        </is>
      </c>
      <c r="F58" s="18" t="inlineStr">
        <is>
          <t>2, 3.1, 4.5</t>
        </is>
      </c>
      <c r="G58" s="19" t="inlineStr">
        <is>
          <t>Đạt</t>
        </is>
      </c>
      <c r="H58" s="20" t="inlineStr">
        <is>
          <t>REF-02, NFR-06, RULE-02.</t>
        </is>
      </c>
      <c r="I58" s="20" t="n"/>
      <c r="J58" s="20" t="n"/>
      <c r="K58" s="21" t="n"/>
    </row>
    <row r="59">
      <c r="A59" s="16" t="inlineStr">
        <is>
          <t>J02</t>
        </is>
      </c>
      <c r="B59" s="17" t="inlineStr">
        <is>
          <t>J. Tuân thủ và bảo mật</t>
        </is>
      </c>
      <c r="C59" s="17" t="inlineStr">
        <is>
          <t>Kiểm toán và nhật ký</t>
        </is>
      </c>
      <c r="D59" s="17" t="inlineStr">
        <is>
          <t>Có yêu cầu ghi nhật ký và thời gian lưu nhật ký không?</t>
        </is>
      </c>
      <c r="E59" s="17" t="inlineStr">
        <is>
          <t>Checklist gốc</t>
        </is>
      </c>
      <c r="F59" s="18" t="inlineStr">
        <is>
          <t>4.1, 4.5</t>
        </is>
      </c>
      <c r="G59" s="19" t="inlineStr">
        <is>
          <t>Đạt</t>
        </is>
      </c>
      <c r="H59" s="20" t="inlineStr">
        <is>
          <t>BR-30, NFR-09, RULE-06.</t>
        </is>
      </c>
      <c r="I59" s="20" t="n"/>
      <c r="J59" s="20" t="n"/>
      <c r="K59" s="21" t="n"/>
    </row>
    <row r="60">
      <c r="A60" s="16" t="inlineStr">
        <is>
          <t>J03</t>
        </is>
      </c>
      <c r="B60" s="17" t="inlineStr">
        <is>
          <t>J. Tuân thủ và bảo mật</t>
        </is>
      </c>
      <c r="C60" s="17" t="inlineStr">
        <is>
          <t>Kiểm soát truy cập</t>
        </is>
      </c>
      <c r="D60" s="17" t="inlineStr">
        <is>
          <t>Có nguyên tắc phân quyền, xác thực và chính sách tài khoản không?</t>
        </is>
      </c>
      <c r="E60" s="17" t="inlineStr">
        <is>
          <t>Checklist gốc</t>
        </is>
      </c>
      <c r="F60" s="18" t="inlineStr">
        <is>
          <t>4.1, 4.2</t>
        </is>
      </c>
      <c r="G60" s="19" t="inlineStr">
        <is>
          <t>Đạt</t>
        </is>
      </c>
      <c r="H60" s="20" t="inlineStr">
        <is>
          <t>BR-28, BR-29, RULE-04, RULE-05.</t>
        </is>
      </c>
      <c r="I60" s="20" t="n"/>
      <c r="J60" s="20" t="n"/>
      <c r="K60" s="21" t="n"/>
    </row>
  </sheetData>
  <autoFilter ref="A1:K60"/>
  <conditionalFormatting sqref="G2:G60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"Không đạt"</formula>
    </cfRule>
    <cfRule type="cellIs" priority="4" operator="equal" dxfId="3">
      <formula>"Chưa kiểm tra"</formula>
    </cfRule>
    <cfRule type="cellIs" priority="5" operator="equal" dxfId="4">
      <formula>"N/A"</formula>
    </cfRule>
  </conditionalFormatting>
  <dataValidations count="2">
    <dataValidation sqref="G2:G60" showDropDown="0" showInputMessage="0" showErrorMessage="1" allowBlank="1" errorTitle="Trạng thái" error="Chọn một giá trị trong danh sách." type="list">
      <formula1>"Đạt,Một phần,Không đạt,Chưa kiểm tra,N/A"</formula1>
    </dataValidation>
    <dataValidation sqref="K2:K60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2026-10-21T14:20:31Z</dcterms:created>
  <dcterms:modified xmlns:dcterms="http://purl.org/dc/terms/" xmlns:xsi="http://www.w3.org/2001/XMLSchema-instance" xsi:type="dcterms:W3CDTF">2026-10-21T14:20:31Z</dcterms:modified>
</cp:coreProperties>
</file>